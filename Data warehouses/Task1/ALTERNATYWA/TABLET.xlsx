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chal\Documents\GitHub\Semester-5-Repo\Data Warehouses\Task1\"/>
    </mc:Choice>
  </mc:AlternateContent>
  <xr:revisionPtr revIDLastSave="0" documentId="13_ncr:1_{7FFCDB07-170F-4E10-B28E-CBCEFAC307D6}" xr6:coauthVersionLast="47" xr6:coauthVersionMax="47" xr10:uidLastSave="{00000000-0000-0000-0000-000000000000}"/>
  <bookViews>
    <workbookView xWindow="-120" yWindow="-120" windowWidth="38640" windowHeight="21240" xr2:uid="{E4A93A60-A0E0-4B6A-B6A5-C93552645FA7}"/>
  </bookViews>
  <sheets>
    <sheet name="taryfikator (2)" sheetId="4" r:id="rId1"/>
  </sheets>
  <definedNames>
    <definedName name="ExternalData_2" localSheetId="0" hidden="1">'taryfikator (2)'!$D$1:$I$25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4" l="1"/>
  <c r="J8" i="4"/>
  <c r="J12" i="4"/>
  <c r="J16" i="4"/>
  <c r="J18" i="4"/>
  <c r="J19" i="4"/>
  <c r="J24" i="4"/>
  <c r="J25" i="4"/>
  <c r="J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FDB36A-0018-4F8C-BB90-5E0DF87AF27F}" keepAlive="1" name="Zapytanie — tar" description="Połączenie z zapytaniem „tar” w skoroszycie." type="5" refreshedVersion="0" background="1">
    <dbPr connection="Provider=Microsoft.Mashup.OleDb.1;Data Source=$Workbook$;Location=tar;Extended Properties=&quot;&quot;" command="SELECT * FROM [tar]"/>
  </connection>
  <connection id="2" xr16:uid="{2FCE9AF8-8427-4F86-8D6F-59EDF79882BB}" keepAlive="1" name="Zapytanie — taryfikator" description="Połączenie z zapytaniem „taryfikator” w skoroszycie." type="5" refreshedVersion="0" background="1">
    <dbPr connection="Provider=Microsoft.Mashup.OleDb.1;Data Source=$Workbook$;Location=taryfikator;Extended Properties=&quot;&quot;" command="SELECT * FROM [taryfikator]"/>
  </connection>
  <connection id="3" xr16:uid="{0475833B-5BD8-4972-8E7C-3DC0150A9023}" keepAlive="1" name="Zapytanie — taryfikator (2)" description="Połączenie z zapytaniem „taryfikator (2)” w skoroszycie." type="5" refreshedVersion="8" background="1" saveData="1">
    <dbPr connection="Provider=Microsoft.Mashup.OleDb.1;Data Source=$Workbook$;Location=&quot;taryfikator (2)&quot;;Extended Properties=&quot;&quot;" command="SELECT * FROM [taryfikator (2)]"/>
  </connection>
</connections>
</file>

<file path=xl/sharedStrings.xml><?xml version="1.0" encoding="utf-8"?>
<sst xmlns="http://schemas.openxmlformats.org/spreadsheetml/2006/main" count="104" uniqueCount="76">
  <si>
    <t>Kategoria</t>
  </si>
  <si>
    <t>PRZEKROCZENIE PRĘDKOŚCI</t>
  </si>
  <si>
    <t>do 10 km/h</t>
  </si>
  <si>
    <t>od 11 do 15 km/h</t>
  </si>
  <si>
    <t>od 16 do 20 km/h</t>
  </si>
  <si>
    <t>od 21 do 25 km/h</t>
  </si>
  <si>
    <t>od 26 do 30 km/h</t>
  </si>
  <si>
    <t>od 31 do 40 km/h</t>
  </si>
  <si>
    <t>od 41 do 50 km/h</t>
  </si>
  <si>
    <t>od 51 do 60 km/h</t>
  </si>
  <si>
    <t>od 61 do 70 km/h</t>
  </si>
  <si>
    <t>od 71 km/h</t>
  </si>
  <si>
    <t>PIESI</t>
  </si>
  <si>
    <t>Nieustąpienie pierwszeństwa pieszemu na przejściu lub wchodzącemu na przejście</t>
  </si>
  <si>
    <t>Wyprzedzanie pojazdu na przejściu dla pieszych lub bezpośrednio przed nim</t>
  </si>
  <si>
    <t>Omijanie pojazdu ustępującego pieszym pierwszeństwa na przejściu</t>
  </si>
  <si>
    <t>Nieustąpienie pierwszeństwa pieszemu na skrzyżowaniu przy skręcie w drogę poprzeczną</t>
  </si>
  <si>
    <t>Nieustąpienie pierwszeństwa pieszemu przy przejeżdżaniu przez chodnik lub drogę dla pieszych</t>
  </si>
  <si>
    <t>Nieustąpienie pierwszeństwa pieszemu podczas włączania się do ruchu</t>
  </si>
  <si>
    <t>Nieustąpienie pierwszeństwa pieszemu przy cofaniu pojazdem</t>
  </si>
  <si>
    <t>Nieustąpienie pierwszeństwa pieszemu w strefie zamieszkania</t>
  </si>
  <si>
    <t>Niezatrzymanie pojazdu w celu umożliwienia przejścia osobie niepełnosprawnej</t>
  </si>
  <si>
    <t>Jazda wzdłuż po chodniku lub przejściu dla pieszych</t>
  </si>
  <si>
    <t>PRZEJAZDY KOLEJOWE</t>
  </si>
  <si>
    <t>Objeżdżanie opuszczonych zapór lub półzapór</t>
  </si>
  <si>
    <t>Naruszenie zakazu objeżdżania opuszczonych zapór lub półzapór</t>
  </si>
  <si>
    <t>Wjazd za czerwone światło na przejeździe</t>
  </si>
  <si>
    <t>Wjazd na przejazd kolejowy bez możliwości kontynuowania jazdy</t>
  </si>
  <si>
    <t>Rodzaj</t>
  </si>
  <si>
    <t>Data wystawienia</t>
  </si>
  <si>
    <t>Nr sprawy</t>
  </si>
  <si>
    <t>Opis</t>
  </si>
  <si>
    <t>Miejsce</t>
  </si>
  <si>
    <t>Maksymalne punkty karne</t>
  </si>
  <si>
    <t>Wystawione punkty karne</t>
  </si>
  <si>
    <t>Wystawiona kara finansowa</t>
  </si>
  <si>
    <t>Przepisowa kara finansowa</t>
  </si>
  <si>
    <t>Przepisowa kara finansowa (recydywa)</t>
  </si>
  <si>
    <t>Czy_przyjęta</t>
  </si>
  <si>
    <t>Gdańsk, Obrońców Wybrzeża 25</t>
  </si>
  <si>
    <t>Gdańsk, Kołobrzeska 15</t>
  </si>
  <si>
    <t>Gdańsk, Nadmorska 1</t>
  </si>
  <si>
    <t>Gdańsk, Jagielońska 34</t>
  </si>
  <si>
    <t>Gdańsk, Nadmorska 10</t>
  </si>
  <si>
    <t>Gdańsk, Nadmorska 11</t>
  </si>
  <si>
    <t>Gdańsk, Kołobrzeska 7</t>
  </si>
  <si>
    <t>Gdańsk, Kołobrzeska 19</t>
  </si>
  <si>
    <t>Gdańsk, Jagielońska 29</t>
  </si>
  <si>
    <t>Gdańsk, Obrońców Wybrzeża 1</t>
  </si>
  <si>
    <t>Gdańsk, Jagielońska 19a</t>
  </si>
  <si>
    <t>Gdańsk, Obrońców Wybrzeża 25c</t>
  </si>
  <si>
    <t>Gdańsk, Obrońców Wybrzeża 37</t>
  </si>
  <si>
    <t>678A</t>
  </si>
  <si>
    <t>678B</t>
  </si>
  <si>
    <t>678C</t>
  </si>
  <si>
    <t>678D</t>
  </si>
  <si>
    <t>678E</t>
  </si>
  <si>
    <t>678F</t>
  </si>
  <si>
    <t>678G</t>
  </si>
  <si>
    <t>678H</t>
  </si>
  <si>
    <t>678I</t>
  </si>
  <si>
    <t>678J</t>
  </si>
  <si>
    <t>678K</t>
  </si>
  <si>
    <t>678L</t>
  </si>
  <si>
    <t>678M</t>
  </si>
  <si>
    <t>678N</t>
  </si>
  <si>
    <t>678O</t>
  </si>
  <si>
    <t>678U</t>
  </si>
  <si>
    <t>678P</t>
  </si>
  <si>
    <t>678R</t>
  </si>
  <si>
    <t>678S</t>
  </si>
  <si>
    <t>678T</t>
  </si>
  <si>
    <t>678X</t>
  </si>
  <si>
    <t>678Y</t>
  </si>
  <si>
    <t>678Z</t>
  </si>
  <si>
    <t>679A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</si>
</sst>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\-mm\-dd\ h:mm;@"/>
  </numFmts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8" fontId="0" fillId="0" borderId="0" xfId="0" applyNumberFormat="1"/>
  </cellXfs>
  <cellStyles count="1">
    <cellStyle name="Normalny" xfId="0" builtinId="0"/>
  </cellStyles>
  <dxfs count="11">
    <dxf>
      <numFmt numFmtId="0" formatCode="General"/>
    </dxf>
    <dxf>
      <numFmt numFmtId="168" formatCode="yy\-mm\-dd\ h:mm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90A3A46-176C-49ED-A4CA-B2A006A7EB51}" autoFormatId="16" applyNumberFormats="0" applyBorderFormats="0" applyFontFormats="0" applyPatternFormats="0" applyAlignmentFormats="0" applyWidthHeightFormats="0">
  <queryTableRefresh nextId="18" unboundColumnsLeft="3" unboundColumnsRight="3">
    <queryTableFields count="12">
      <queryTableField id="7" dataBound="0" tableColumnId="7"/>
      <queryTableField id="8" dataBound="0" tableColumnId="8"/>
      <queryTableField id="12" dataBound="0" tableColumnId="13"/>
      <queryTableField id="1" name="Kategoria" tableColumnId="1"/>
      <queryTableField id="2" name="Wykroczenie" tableColumnId="2"/>
      <queryTableField id="10" dataBound="0" tableColumnId="10"/>
      <queryTableField id="3" name="Mandat (zł)" tableColumnId="3"/>
      <queryTableField id="4" name="Punkty" tableColumnId="4"/>
      <queryTableField id="5" name="Column1" tableColumnId="5"/>
      <queryTableField id="13" dataBound="0" tableColumnId="14"/>
      <queryTableField id="17" dataBound="0" tableColumnId="18"/>
      <queryTableField id="14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859773-9BE4-44DA-93A3-2B99DBE2F625}" name="taryfikator__2" displayName="taryfikator__2" ref="A1:L25" tableType="queryTable" totalsRowShown="0">
  <autoFilter ref="A1:L25" xr:uid="{B1859773-9BE4-44DA-93A3-2B99DBE2F625}"/>
  <tableColumns count="12">
    <tableColumn id="7" xr3:uid="{BB3573DE-00DA-4ADE-8CF5-3AF9AB9A6BBA}" uniqueName="7" name="Nr sprawy" queryTableFieldId="7" dataDxfId="0"/>
    <tableColumn id="8" xr3:uid="{22BDCC49-4402-4448-A7ED-D836242D57D2}" uniqueName="8" name="Data wystawienia" queryTableFieldId="8" dataDxfId="1"/>
    <tableColumn id="13" xr3:uid="{2B628A86-7AC5-4776-B6C3-887336C907A9}" uniqueName="13" name="Miejsce" queryTableFieldId="12" dataDxfId="2"/>
    <tableColumn id="1" xr3:uid="{1351FDB8-019B-4D3F-8749-5A27FD4FC424}" uniqueName="1" name="Kategoria" queryTableFieldId="1" dataDxfId="10"/>
    <tableColumn id="2" xr3:uid="{3BECCA07-9F11-41DC-9B09-2B2E13E1C5C8}" uniqueName="2" name="Rodzaj" queryTableFieldId="2" dataDxfId="9"/>
    <tableColumn id="10" xr3:uid="{4EB49102-AAFD-4A7B-9014-BFC331B44B91}" uniqueName="10" name="Opis" queryTableFieldId="10"/>
    <tableColumn id="3" xr3:uid="{299E378C-B440-442F-A68E-E67989BA639D}" uniqueName="3" name="Przepisowa kara finansowa" queryTableFieldId="3" dataDxfId="8"/>
    <tableColumn id="4" xr3:uid="{52FF86BB-0180-402D-8B0C-4EAB89D22A6A}" uniqueName="4" name="Przepisowa kara finansowa (recydywa)" queryTableFieldId="4" dataDxfId="7"/>
    <tableColumn id="5" xr3:uid="{04BAD60F-B89E-492B-8A2F-8B0A3B175EAB}" uniqueName="5" name="Maksymalne punkty karne" queryTableFieldId="5" dataDxfId="6"/>
    <tableColumn id="14" xr3:uid="{1FE035CD-7347-4969-811F-C890DE79EB9D}" uniqueName="14" name="Wystawiona kara finansowa" queryTableFieldId="13" dataDxfId="5"/>
    <tableColumn id="18" xr3:uid="{0A6C8AB4-669C-447A-8A53-223772D64494}" uniqueName="18" name="Wystawione punkty karne" queryTableFieldId="17" dataDxfId="3"/>
    <tableColumn id="15" xr3:uid="{C8A2FECF-6E6C-4674-9F06-54E3AF679013}" uniqueName="15" name="Czy_przyjęta" queryTableFieldId="14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38A7-B0B4-4B45-81FC-7861A45A936E}">
  <dimension ref="A1:L25"/>
  <sheetViews>
    <sheetView tabSelected="1" zoomScale="55" zoomScaleNormal="55" workbookViewId="0">
      <selection activeCell="E60" sqref="E60"/>
    </sheetView>
  </sheetViews>
  <sheetFormatPr defaultRowHeight="15" x14ac:dyDescent="0.25"/>
  <cols>
    <col min="1" max="1" width="12.140625" bestFit="1" customWidth="1"/>
    <col min="2" max="2" width="23.5703125" style="2" bestFit="1" customWidth="1"/>
    <col min="3" max="3" width="29.7109375" bestFit="1" customWidth="1"/>
    <col min="4" max="4" width="26" bestFit="1" customWidth="1"/>
    <col min="5" max="5" width="87.28515625" bestFit="1" customWidth="1"/>
    <col min="6" max="6" width="7.42578125" bestFit="1" customWidth="1"/>
    <col min="7" max="7" width="31.5703125" bestFit="1" customWidth="1"/>
    <col min="8" max="8" width="39.140625" bestFit="1" customWidth="1"/>
    <col min="9" max="9" width="29.85546875" bestFit="1" customWidth="1"/>
    <col min="10" max="10" width="28.42578125" bestFit="1" customWidth="1"/>
    <col min="11" max="12" width="26.7109375" bestFit="1" customWidth="1"/>
  </cols>
  <sheetData>
    <row r="1" spans="1:12" x14ac:dyDescent="0.25">
      <c r="A1" s="1" t="s">
        <v>30</v>
      </c>
      <c r="B1" s="2" t="s">
        <v>29</v>
      </c>
      <c r="C1" s="1" t="s">
        <v>32</v>
      </c>
      <c r="D1" t="s">
        <v>0</v>
      </c>
      <c r="E1" t="s">
        <v>28</v>
      </c>
      <c r="F1" t="s">
        <v>31</v>
      </c>
      <c r="G1" t="s">
        <v>36</v>
      </c>
      <c r="H1" t="s">
        <v>37</v>
      </c>
      <c r="I1" t="s">
        <v>33</v>
      </c>
      <c r="J1" t="s">
        <v>35</v>
      </c>
      <c r="K1" t="s">
        <v>34</v>
      </c>
      <c r="L1" t="s">
        <v>38</v>
      </c>
    </row>
    <row r="2" spans="1:12" x14ac:dyDescent="0.25">
      <c r="A2" t="s">
        <v>52</v>
      </c>
      <c r="B2" s="2">
        <v>45938.770833333336</v>
      </c>
      <c r="C2" t="s">
        <v>39</v>
      </c>
      <c r="D2" t="s">
        <v>1</v>
      </c>
      <c r="E2" t="s">
        <v>2</v>
      </c>
      <c r="G2">
        <v>50</v>
      </c>
      <c r="H2">
        <v>50</v>
      </c>
      <c r="I2">
        <v>1</v>
      </c>
      <c r="J2" s="1">
        <v>0</v>
      </c>
      <c r="K2" s="1">
        <v>0</v>
      </c>
      <c r="L2" s="1">
        <v>1</v>
      </c>
    </row>
    <row r="3" spans="1:12" x14ac:dyDescent="0.25">
      <c r="A3" s="1" t="s">
        <v>53</v>
      </c>
      <c r="B3" s="2">
        <v>45936.270833333336</v>
      </c>
      <c r="C3" s="1" t="s">
        <v>42</v>
      </c>
      <c r="D3" t="s">
        <v>1</v>
      </c>
      <c r="E3" t="s">
        <v>3</v>
      </c>
      <c r="G3">
        <v>100</v>
      </c>
      <c r="H3">
        <v>100</v>
      </c>
      <c r="I3">
        <v>2</v>
      </c>
      <c r="J3" s="1">
        <v>0</v>
      </c>
      <c r="K3" s="1">
        <v>0</v>
      </c>
      <c r="L3" s="1">
        <v>1</v>
      </c>
    </row>
    <row r="4" spans="1:12" x14ac:dyDescent="0.25">
      <c r="A4" s="1" t="s">
        <v>54</v>
      </c>
      <c r="B4" s="2">
        <v>45934.40625</v>
      </c>
      <c r="C4" s="1" t="s">
        <v>40</v>
      </c>
      <c r="D4" t="s">
        <v>1</v>
      </c>
      <c r="E4" t="s">
        <v>4</v>
      </c>
      <c r="G4">
        <v>200</v>
      </c>
      <c r="H4">
        <v>200</v>
      </c>
      <c r="I4">
        <v>3</v>
      </c>
      <c r="J4" s="1">
        <v>200</v>
      </c>
      <c r="K4" s="1">
        <v>0</v>
      </c>
      <c r="L4" s="1">
        <v>1</v>
      </c>
    </row>
    <row r="5" spans="1:12" x14ac:dyDescent="0.25">
      <c r="A5" s="1" t="s">
        <v>55</v>
      </c>
      <c r="B5" s="2">
        <v>45926.194444444445</v>
      </c>
      <c r="C5" s="1" t="s">
        <v>41</v>
      </c>
      <c r="D5" t="s">
        <v>1</v>
      </c>
      <c r="E5" t="s">
        <v>5</v>
      </c>
      <c r="G5">
        <v>300</v>
      </c>
      <c r="H5">
        <v>300</v>
      </c>
      <c r="I5">
        <v>5</v>
      </c>
      <c r="J5" s="1">
        <v>300</v>
      </c>
      <c r="K5" s="1">
        <v>4</v>
      </c>
      <c r="L5" s="1">
        <v>1</v>
      </c>
    </row>
    <row r="6" spans="1:12" x14ac:dyDescent="0.25">
      <c r="A6" s="1" t="s">
        <v>56</v>
      </c>
      <c r="B6" s="2">
        <v>45919.652777777781</v>
      </c>
      <c r="C6" t="s">
        <v>48</v>
      </c>
      <c r="D6" t="s">
        <v>1</v>
      </c>
      <c r="E6" t="s">
        <v>6</v>
      </c>
      <c r="G6">
        <v>400</v>
      </c>
      <c r="H6">
        <v>400</v>
      </c>
      <c r="I6">
        <v>7</v>
      </c>
      <c r="J6" s="1">
        <f>taryfikator__2[[#This Row],[Przepisowa kara finansowa]]</f>
        <v>400</v>
      </c>
      <c r="K6" s="1">
        <v>6</v>
      </c>
      <c r="L6" s="1">
        <v>1</v>
      </c>
    </row>
    <row r="7" spans="1:12" x14ac:dyDescent="0.25">
      <c r="A7" s="1" t="s">
        <v>57</v>
      </c>
      <c r="B7" s="2">
        <v>45926.604166666664</v>
      </c>
      <c r="C7" s="1" t="s">
        <v>47</v>
      </c>
      <c r="D7" t="s">
        <v>1</v>
      </c>
      <c r="E7" t="s">
        <v>7</v>
      </c>
      <c r="G7">
        <v>800</v>
      </c>
      <c r="H7">
        <v>1600</v>
      </c>
      <c r="I7">
        <v>9</v>
      </c>
      <c r="J7" s="1">
        <v>600</v>
      </c>
      <c r="K7" s="1">
        <v>8</v>
      </c>
      <c r="L7" s="1">
        <v>1</v>
      </c>
    </row>
    <row r="8" spans="1:12" x14ac:dyDescent="0.25">
      <c r="A8" s="1" t="s">
        <v>58</v>
      </c>
      <c r="B8" s="2">
        <v>45938.770833333336</v>
      </c>
      <c r="C8" s="1" t="s">
        <v>46</v>
      </c>
      <c r="D8" t="s">
        <v>1</v>
      </c>
      <c r="E8" t="s">
        <v>8</v>
      </c>
      <c r="G8">
        <v>1000</v>
      </c>
      <c r="H8">
        <v>2000</v>
      </c>
      <c r="I8">
        <v>11</v>
      </c>
      <c r="J8" s="1">
        <f>taryfikator__2[[#This Row],[Przepisowa kara finansowa]]</f>
        <v>1000</v>
      </c>
      <c r="K8" s="1">
        <v>10</v>
      </c>
      <c r="L8" s="1">
        <v>1</v>
      </c>
    </row>
    <row r="9" spans="1:12" x14ac:dyDescent="0.25">
      <c r="A9" s="1" t="s">
        <v>59</v>
      </c>
      <c r="B9" s="2">
        <v>45936.270833333336</v>
      </c>
      <c r="C9" s="1" t="s">
        <v>44</v>
      </c>
      <c r="D9" t="s">
        <v>1</v>
      </c>
      <c r="E9" t="s">
        <v>9</v>
      </c>
      <c r="G9">
        <v>1500</v>
      </c>
      <c r="H9">
        <v>3000</v>
      </c>
      <c r="I9">
        <v>13</v>
      </c>
      <c r="J9" s="1">
        <v>1000</v>
      </c>
      <c r="K9" s="1">
        <v>13</v>
      </c>
      <c r="L9" s="1">
        <v>0</v>
      </c>
    </row>
    <row r="10" spans="1:12" x14ac:dyDescent="0.25">
      <c r="A10" s="1" t="s">
        <v>60</v>
      </c>
      <c r="B10" s="2">
        <v>45934.40625</v>
      </c>
      <c r="C10" t="s">
        <v>39</v>
      </c>
      <c r="D10" t="s">
        <v>1</v>
      </c>
      <c r="E10" t="s">
        <v>10</v>
      </c>
      <c r="G10">
        <v>2000</v>
      </c>
      <c r="H10">
        <v>4000</v>
      </c>
      <c r="I10">
        <v>14</v>
      </c>
      <c r="J10" s="1">
        <v>1000</v>
      </c>
      <c r="K10" s="1">
        <v>13</v>
      </c>
      <c r="L10" s="1">
        <v>0</v>
      </c>
    </row>
    <row r="11" spans="1:12" x14ac:dyDescent="0.25">
      <c r="A11" s="1" t="s">
        <v>61</v>
      </c>
      <c r="B11" s="2">
        <v>45926.194444444445</v>
      </c>
      <c r="C11" s="1" t="s">
        <v>42</v>
      </c>
      <c r="D11" t="s">
        <v>1</v>
      </c>
      <c r="E11" t="s">
        <v>11</v>
      </c>
      <c r="G11">
        <v>2500</v>
      </c>
      <c r="H11">
        <v>5000</v>
      </c>
      <c r="I11">
        <v>15</v>
      </c>
      <c r="J11" s="1">
        <f>taryfikator__2[[#This Row],[Przepisowa kara finansowa]]</f>
        <v>2500</v>
      </c>
      <c r="K11" s="1">
        <v>15</v>
      </c>
      <c r="L11" s="1">
        <v>0</v>
      </c>
    </row>
    <row r="12" spans="1:12" x14ac:dyDescent="0.25">
      <c r="A12" s="1" t="s">
        <v>62</v>
      </c>
      <c r="B12" s="2">
        <v>45919.652777777781</v>
      </c>
      <c r="C12" s="1" t="s">
        <v>40</v>
      </c>
      <c r="D12" t="s">
        <v>12</v>
      </c>
      <c r="E12" t="s">
        <v>13</v>
      </c>
      <c r="G12">
        <v>1500</v>
      </c>
      <c r="H12">
        <v>3000</v>
      </c>
      <c r="I12">
        <v>15</v>
      </c>
      <c r="J12" s="1">
        <f>taryfikator__2[[#This Row],[Przepisowa kara finansowa]]</f>
        <v>1500</v>
      </c>
      <c r="K12" s="1">
        <v>12</v>
      </c>
      <c r="L12" s="1">
        <v>1</v>
      </c>
    </row>
    <row r="13" spans="1:12" x14ac:dyDescent="0.25">
      <c r="A13" s="1" t="s">
        <v>63</v>
      </c>
      <c r="B13" s="2">
        <v>45926.604166666664</v>
      </c>
      <c r="C13" s="1" t="s">
        <v>41</v>
      </c>
      <c r="D13" t="s">
        <v>12</v>
      </c>
      <c r="E13" t="s">
        <v>14</v>
      </c>
      <c r="G13">
        <v>1500</v>
      </c>
      <c r="H13">
        <v>3000</v>
      </c>
      <c r="I13">
        <v>15</v>
      </c>
      <c r="J13" s="1">
        <v>1000</v>
      </c>
      <c r="K13" s="1">
        <v>10</v>
      </c>
      <c r="L13" s="1">
        <v>0</v>
      </c>
    </row>
    <row r="14" spans="1:12" x14ac:dyDescent="0.25">
      <c r="A14" s="1" t="s">
        <v>64</v>
      </c>
      <c r="B14" s="2">
        <v>45938.770833333336</v>
      </c>
      <c r="C14" t="s">
        <v>51</v>
      </c>
      <c r="D14" t="s">
        <v>12</v>
      </c>
      <c r="E14" t="s">
        <v>15</v>
      </c>
      <c r="G14">
        <v>1500</v>
      </c>
      <c r="H14">
        <v>3000</v>
      </c>
      <c r="I14">
        <v>15</v>
      </c>
      <c r="J14" s="1">
        <v>500</v>
      </c>
      <c r="K14" s="1">
        <v>7</v>
      </c>
      <c r="L14" s="1">
        <v>1</v>
      </c>
    </row>
    <row r="15" spans="1:12" x14ac:dyDescent="0.25">
      <c r="A15" s="1" t="s">
        <v>65</v>
      </c>
      <c r="B15" s="2">
        <v>45936.270833333336</v>
      </c>
      <c r="C15" s="1" t="s">
        <v>42</v>
      </c>
      <c r="D15" t="s">
        <v>12</v>
      </c>
      <c r="E15" t="s">
        <v>16</v>
      </c>
      <c r="G15">
        <v>1500</v>
      </c>
      <c r="H15">
        <v>3000</v>
      </c>
      <c r="I15">
        <v>12</v>
      </c>
      <c r="J15" s="1">
        <v>500</v>
      </c>
      <c r="K15" s="1">
        <v>8</v>
      </c>
      <c r="L15" s="1">
        <v>1</v>
      </c>
    </row>
    <row r="16" spans="1:12" x14ac:dyDescent="0.25">
      <c r="A16" s="1" t="s">
        <v>66</v>
      </c>
      <c r="B16" s="2">
        <v>45934.40625</v>
      </c>
      <c r="C16" s="1" t="s">
        <v>45</v>
      </c>
      <c r="D16" t="s">
        <v>12</v>
      </c>
      <c r="E16" t="s">
        <v>17</v>
      </c>
      <c r="G16">
        <v>1500</v>
      </c>
      <c r="H16">
        <v>3000</v>
      </c>
      <c r="I16">
        <v>8</v>
      </c>
      <c r="J16" s="1">
        <f>taryfikator__2[[#This Row],[Przepisowa kara finansowa]]</f>
        <v>1500</v>
      </c>
      <c r="K16" s="1">
        <v>3</v>
      </c>
      <c r="L16" s="1">
        <v>1</v>
      </c>
    </row>
    <row r="17" spans="1:12" x14ac:dyDescent="0.25">
      <c r="A17" s="1" t="s">
        <v>67</v>
      </c>
      <c r="B17" s="2">
        <v>45926.194444444445</v>
      </c>
      <c r="C17" s="1" t="s">
        <v>43</v>
      </c>
      <c r="D17" t="s">
        <v>12</v>
      </c>
      <c r="E17" t="s">
        <v>18</v>
      </c>
      <c r="G17">
        <v>1500</v>
      </c>
      <c r="H17">
        <v>3000</v>
      </c>
      <c r="I17">
        <v>8</v>
      </c>
      <c r="J17" s="1">
        <v>500</v>
      </c>
      <c r="K17" s="1">
        <v>5</v>
      </c>
      <c r="L17" s="1">
        <v>0</v>
      </c>
    </row>
    <row r="18" spans="1:12" x14ac:dyDescent="0.25">
      <c r="A18" s="1" t="s">
        <v>68</v>
      </c>
      <c r="B18" s="2">
        <v>45919.652777777781</v>
      </c>
      <c r="C18" t="s">
        <v>50</v>
      </c>
      <c r="D18" t="s">
        <v>12</v>
      </c>
      <c r="E18" t="s">
        <v>19</v>
      </c>
      <c r="G18">
        <v>1500</v>
      </c>
      <c r="H18">
        <v>3000</v>
      </c>
      <c r="I18">
        <v>10</v>
      </c>
      <c r="J18" s="1">
        <f>taryfikator__2[[#This Row],[Przepisowa kara finansowa]]</f>
        <v>1500</v>
      </c>
      <c r="K18" s="1">
        <v>5</v>
      </c>
      <c r="L18" s="1">
        <v>1</v>
      </c>
    </row>
    <row r="19" spans="1:12" x14ac:dyDescent="0.25">
      <c r="A19" s="1" t="s">
        <v>69</v>
      </c>
      <c r="B19" s="2">
        <v>45926.604166666664</v>
      </c>
      <c r="C19" s="1" t="s">
        <v>49</v>
      </c>
      <c r="D19" t="s">
        <v>12</v>
      </c>
      <c r="E19" t="s">
        <v>20</v>
      </c>
      <c r="G19">
        <v>1500</v>
      </c>
      <c r="H19">
        <v>3000</v>
      </c>
      <c r="I19">
        <v>8</v>
      </c>
      <c r="J19" s="1">
        <f>taryfikator__2[[#This Row],[Przepisowa kara finansowa]]</f>
        <v>1500</v>
      </c>
      <c r="K19" s="1">
        <v>5</v>
      </c>
      <c r="L19" s="1">
        <v>0</v>
      </c>
    </row>
    <row r="20" spans="1:12" x14ac:dyDescent="0.25">
      <c r="A20" s="1" t="s">
        <v>70</v>
      </c>
      <c r="B20" s="2">
        <v>45938.770833333336</v>
      </c>
      <c r="C20" s="1" t="s">
        <v>40</v>
      </c>
      <c r="D20" t="s">
        <v>12</v>
      </c>
      <c r="E20" t="s">
        <v>21</v>
      </c>
      <c r="G20">
        <v>1500</v>
      </c>
      <c r="H20">
        <v>3000</v>
      </c>
      <c r="I20">
        <v>15</v>
      </c>
      <c r="J20" s="1">
        <v>1000</v>
      </c>
      <c r="K20" s="1">
        <v>8</v>
      </c>
      <c r="L20" s="1">
        <v>1</v>
      </c>
    </row>
    <row r="21" spans="1:12" x14ac:dyDescent="0.25">
      <c r="A21" s="1" t="s">
        <v>71</v>
      </c>
      <c r="B21" s="2">
        <v>45936.270833333336</v>
      </c>
      <c r="C21" s="1" t="s">
        <v>41</v>
      </c>
      <c r="D21" t="s">
        <v>12</v>
      </c>
      <c r="E21" t="s">
        <v>22</v>
      </c>
      <c r="G21">
        <v>1500</v>
      </c>
      <c r="H21">
        <v>3000</v>
      </c>
      <c r="I21">
        <v>8</v>
      </c>
      <c r="J21" s="1">
        <v>800</v>
      </c>
      <c r="K21" s="1">
        <v>7</v>
      </c>
      <c r="L21" s="1">
        <v>1</v>
      </c>
    </row>
    <row r="22" spans="1:12" x14ac:dyDescent="0.25">
      <c r="A22" s="1" t="s">
        <v>72</v>
      </c>
      <c r="B22" s="2">
        <v>45934.40625</v>
      </c>
      <c r="C22" s="1"/>
      <c r="D22" t="s">
        <v>23</v>
      </c>
      <c r="E22" t="s">
        <v>24</v>
      </c>
      <c r="G22">
        <v>2000</v>
      </c>
      <c r="H22">
        <v>4000</v>
      </c>
      <c r="I22">
        <v>15</v>
      </c>
      <c r="J22" s="1">
        <v>1500</v>
      </c>
      <c r="K22" s="1">
        <v>6</v>
      </c>
      <c r="L22" s="1">
        <v>1</v>
      </c>
    </row>
    <row r="23" spans="1:12" x14ac:dyDescent="0.25">
      <c r="A23" s="1" t="s">
        <v>73</v>
      </c>
      <c r="B23" s="2">
        <v>45926.194444444445</v>
      </c>
      <c r="C23" s="1"/>
      <c r="D23" t="s">
        <v>23</v>
      </c>
      <c r="E23" t="s">
        <v>25</v>
      </c>
      <c r="G23">
        <v>2000</v>
      </c>
      <c r="H23">
        <v>2000</v>
      </c>
      <c r="I23">
        <v>15</v>
      </c>
      <c r="J23" s="1">
        <v>1800</v>
      </c>
      <c r="K23" s="1">
        <v>13</v>
      </c>
      <c r="L23" s="1">
        <v>0</v>
      </c>
    </row>
    <row r="24" spans="1:12" x14ac:dyDescent="0.25">
      <c r="A24" s="1" t="s">
        <v>74</v>
      </c>
      <c r="B24" s="2">
        <v>45919.652777777781</v>
      </c>
      <c r="C24" s="1"/>
      <c r="D24" t="s">
        <v>23</v>
      </c>
      <c r="E24" t="s">
        <v>26</v>
      </c>
      <c r="G24">
        <v>2000</v>
      </c>
      <c r="H24">
        <v>4000</v>
      </c>
      <c r="I24">
        <v>15</v>
      </c>
      <c r="J24" s="1">
        <f>taryfikator__2[[#This Row],[Przepisowa kara finansowa]]</f>
        <v>2000</v>
      </c>
      <c r="K24" s="1">
        <v>15</v>
      </c>
      <c r="L24" s="1">
        <v>0</v>
      </c>
    </row>
    <row r="25" spans="1:12" x14ac:dyDescent="0.25">
      <c r="A25" s="1" t="s">
        <v>75</v>
      </c>
      <c r="B25" s="2">
        <v>45926.604166666664</v>
      </c>
      <c r="C25" s="1"/>
      <c r="D25" t="s">
        <v>23</v>
      </c>
      <c r="E25" t="s">
        <v>27</v>
      </c>
      <c r="G25">
        <v>2000</v>
      </c>
      <c r="H25">
        <v>4000</v>
      </c>
      <c r="I25">
        <v>15</v>
      </c>
      <c r="J25" s="1">
        <f>taryfikator__2[[#This Row],[Przepisowa kara finansowa]]</f>
        <v>2000</v>
      </c>
      <c r="K25" s="1">
        <v>7</v>
      </c>
      <c r="L25" s="1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42315B-4851-4825-9FB3-6427C3A042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taryfikator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Wesołowski</dc:creator>
  <cp:lastModifiedBy>Michał Sadkowski</cp:lastModifiedBy>
  <dcterms:created xsi:type="dcterms:W3CDTF">2025-10-08T14:25:14Z</dcterms:created>
  <dcterms:modified xsi:type="dcterms:W3CDTF">2025-10-08T16:52:10Z</dcterms:modified>
</cp:coreProperties>
</file>