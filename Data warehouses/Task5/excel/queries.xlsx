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lo1\Desktop\Zadanie 5 - skrypty\afera excelowa\"/>
    </mc:Choice>
  </mc:AlternateContent>
  <xr:revisionPtr revIDLastSave="0" documentId="13_ncr:1_{CF55255A-CEB9-43A5-AA5B-88E78D18A2BA}" xr6:coauthVersionLast="47" xr6:coauthVersionMax="47" xr10:uidLastSave="{00000000-0000-0000-0000-000000000000}"/>
  <bookViews>
    <workbookView xWindow="-120" yWindow="-120" windowWidth="29040" windowHeight="14295" activeTab="12" xr2:uid="{EE40AB1D-4070-47C4-9058-9AD2A4E92774}"/>
  </bookViews>
  <sheets>
    <sheet name="1.1" sheetId="1" r:id="rId1"/>
    <sheet name="1.2" sheetId="2" r:id="rId2"/>
    <sheet name="1.3" sheetId="3" r:id="rId3"/>
    <sheet name="1.4" sheetId="4" r:id="rId4"/>
    <sheet name="1.5" sheetId="5" r:id="rId5"/>
    <sheet name="1.6" sheetId="6" r:id="rId6"/>
    <sheet name="1.7" sheetId="7" r:id="rId7"/>
    <sheet name="2.1" sheetId="8" r:id="rId8"/>
    <sheet name="2.2" sheetId="9" r:id="rId9"/>
    <sheet name="2.3" sheetId="10" r:id="rId10"/>
    <sheet name="2.4" sheetId="11" r:id="rId11"/>
    <sheet name="2.5" sheetId="12" r:id="rId12"/>
    <sheet name="2.6" sheetId="13" r:id="rId13"/>
  </sheets>
  <calcPr calcId="0"/>
  <pivotCaches>
    <pivotCache cacheId="22" r:id="rId14"/>
    <pivotCache cacheId="51" r:id="rId15"/>
    <pivotCache cacheId="64" r:id="rId16"/>
    <pivotCache cacheId="80" r:id="rId17"/>
    <pivotCache cacheId="87" r:id="rId18"/>
    <pivotCache cacheId="97" r:id="rId19"/>
    <pivotCache cacheId="113" r:id="rId20"/>
    <pivotCache cacheId="123" r:id="rId21"/>
    <pivotCache cacheId="136" r:id="rId22"/>
    <pivotCache cacheId="146" r:id="rId23"/>
    <pivotCache cacheId="156" r:id="rId24"/>
    <pivotCache cacheId="172" r:id="rId25"/>
    <pivotCache cacheId="181" r:id="rId2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E03CD8-666E-44B2-B246-B5BEA93F09AC}" odcFile="C:\Users\haslo1\AppData\Local\Temp\tmpAD0A.odc" keepAlive="1" name="localhost HurtowaniDanychDlaPolicji" type="5" refreshedVersion="8" background="1">
    <dbPr connection="Provider=MSOLAP.8;Integrated Security=SSPI;Persist Security Info=True;Initial Catalog=HurtowaniDanychDlaPolicji;Data Source=localhost;MDX Compatibility=1;Safety Options=2;MDX Missing Member Mode=Error;Update Isolation Level=2" command="policjaHDvie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ocalhost HurtowaniDanychDlaPolicji"/>
    <s v="{[Zdarzenia].[Kategoria].&amp;[Drogowe]}"/>
    <s v="{[Opis Kary].[Rodzaj].&amp;[Pouczenie]}"/>
    <s v="{[Opis Kary].[Rodzaj].&amp;[Wniosek do sadu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<sst xmlns="http://schemas.openxmlformats.org/spreadsheetml/2006/main" count="170" uniqueCount="59">
  <si>
    <t>Row Labels</t>
  </si>
  <si>
    <t>2025</t>
  </si>
  <si>
    <t>Grand Total</t>
  </si>
  <si>
    <t>Interwencje Fakty Count</t>
  </si>
  <si>
    <t>Patrole Fakty Count</t>
  </si>
  <si>
    <t>Kategoria</t>
  </si>
  <si>
    <t>Drogowe</t>
  </si>
  <si>
    <t>January</t>
  </si>
  <si>
    <t>2025-01-01</t>
  </si>
  <si>
    <t>2025-01-03</t>
  </si>
  <si>
    <t>Brzezno</t>
  </si>
  <si>
    <t>Chelm</t>
  </si>
  <si>
    <t>Jasien</t>
  </si>
  <si>
    <t>Matarnia</t>
  </si>
  <si>
    <t>Oliwa</t>
  </si>
  <si>
    <t>Przymorze</t>
  </si>
  <si>
    <t>Srodmiescie</t>
  </si>
  <si>
    <t>Wrzeszcz</t>
  </si>
  <si>
    <t>Column Labels</t>
  </si>
  <si>
    <t>Total Interwencje Fakty Count</t>
  </si>
  <si>
    <t>Total Patrole Fakty Count</t>
  </si>
  <si>
    <t>Srednia_liczba_interwencji_na_patrol</t>
  </si>
  <si>
    <t>Friday</t>
  </si>
  <si>
    <t>Wednesday</t>
  </si>
  <si>
    <t>okolo poludnia</t>
  </si>
  <si>
    <t>po poludniu</t>
  </si>
  <si>
    <t>rano</t>
  </si>
  <si>
    <t>wieczorem</t>
  </si>
  <si>
    <t>Inne</t>
  </si>
  <si>
    <t>Kolizja</t>
  </si>
  <si>
    <t>Wypadek</t>
  </si>
  <si>
    <t>07:00:00.0000000</t>
  </si>
  <si>
    <t>08:00:00.0000000</t>
  </si>
  <si>
    <t>14:00:00.0000000</t>
  </si>
  <si>
    <t>15:00:00.0000000</t>
  </si>
  <si>
    <t>16:00:00.0000000</t>
  </si>
  <si>
    <t>17:00:00.0000000</t>
  </si>
  <si>
    <t>Mandat</t>
  </si>
  <si>
    <t>Pouczenie</t>
  </si>
  <si>
    <t>Wniosek do sadu</t>
  </si>
  <si>
    <t>Kary Fakty Count</t>
  </si>
  <si>
    <t>Rodzaj</t>
  </si>
  <si>
    <t>160412</t>
  </si>
  <si>
    <t>233898</t>
  </si>
  <si>
    <t>257288</t>
  </si>
  <si>
    <t>302459</t>
  </si>
  <si>
    <t>315138</t>
  </si>
  <si>
    <t>450770</t>
  </si>
  <si>
    <t>493961</t>
  </si>
  <si>
    <t>551817</t>
  </si>
  <si>
    <t>564132</t>
  </si>
  <si>
    <t>644389</t>
  </si>
  <si>
    <t>694045</t>
  </si>
  <si>
    <t>810023</t>
  </si>
  <si>
    <t>849277</t>
  </si>
  <si>
    <t>866152</t>
  </si>
  <si>
    <t>880725</t>
  </si>
  <si>
    <t>985905</t>
  </si>
  <si>
    <t>998435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</si>
</sst>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pivotCacheDefinition" Target="pivotCache/pivotCacheDefinition1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3419560184" backgroundQuery="1" createdVersion="8" refreshedVersion="8" minRefreshableVersion="3" recordCount="0" supportSubquery="1" supportAdvancedDrill="1" xr:uid="{CD51F54F-056F-4968-94B0-56F7AA2D3BBC}">
  <cacheSource type="external" connectionId="1"/>
  <cacheFields count="14">
    <cacheField name="[Data].[Kalendarz].[Rok]" caption="Rok" numFmtId="0" hierarchy="10" level="1">
      <sharedItems count="1">
        <s v="[Data].[Kalendarz].[Rok].&amp;[2025]" c="2025"/>
      </sharedItems>
    </cacheField>
    <cacheField name="[Data].[Kalendarz].[Miesiac]" caption="Miesiac" numFmtId="0" hierarchy="10" level="2" mappingCount="1">
      <sharedItems count="1">
        <s v="[Data].[Kalendarz].[Miesiac].&amp;[2025]&amp;[1]" c="January"/>
      </sharedItems>
      <mpMap v="3"/>
    </cacheField>
    <cacheField name="[Data].[Kalendarz].[Data]" caption="Data" numFmtId="0" hierarchy="10" level="3" mappingCount="7">
      <sharedItems count="2">
        <s v="[Data].[Kalendarz].[Data].&amp;[2025-01-01T00:00:00]" c="2025-01-01"/>
        <s v="[Data].[Kalendarz].[Data].&amp;[2025-01-03T00:00:00]" c="2025-01-03"/>
      </sharedItems>
      <mpMap v="4"/>
      <mpMap v="5"/>
      <mpMap v="6"/>
      <mpMap v="7"/>
      <mpMap v="8"/>
      <mpMap v="9"/>
      <mpMap v="10"/>
    </cacheField>
    <cacheField name="[Data].[Kalendarz].[Miesiac].[Rok]" caption="Rok" propertyName="Rok" numFmtId="0" hierarchy="10" level="2" memberPropertyField="1">
      <sharedItems containsSemiMixedTypes="0" containsString="0" containsNumber="1" containsInteger="1" minValue="2025" maxValue="2025" count="1">
        <n v="2025"/>
      </sharedItems>
    </cacheField>
    <cacheField name="[Data].[Kalendarz].[Data].[Czas Wakacyjny]" caption="Czas Wakacyjny" propertyName="Czas Wakacyjny" numFmtId="0" hierarchy="10" level="3" memberPropertyField="1">
      <sharedItems count="1">
        <b v="0"/>
      </sharedItems>
    </cacheField>
    <cacheField name="[Data].[Kalendarz].[Data].[Dzien Pracujacy]" caption="Dzien Pracujacy" propertyName="Dzien Pracujacy" numFmtId="0" hierarchy="10" level="3" memberPropertyField="1">
      <sharedItems count="2">
        <b v="0"/>
        <b v="1"/>
      </sharedItems>
    </cacheField>
    <cacheField name="[Data].[Kalendarz].[Data].[Dzien Przedswiateczny]" caption="Dzien Przedswiateczny" propertyName="Dzien Przedswiateczny" numFmtId="0" hierarchy="10" level="3" memberPropertyField="1">
      <sharedItems count="1">
        <b v="0"/>
      </sharedItems>
    </cacheField>
    <cacheField name="[Data].[Kalendarz].[Data].[Dzien Tygodnia]" caption="Dzien Tygodnia" propertyName="Dzien Tygodnia" numFmtId="0" hierarchy="10" level="3" memberPropertyField="1">
      <sharedItems count="2">
        <s v="Wednesday"/>
        <s v="Friday"/>
      </sharedItems>
    </cacheField>
    <cacheField name="[Data].[Kalendarz].[Data].[Miesiac]" caption="Miesiac" propertyName="Miesiac" numFmtId="0" hierarchy="10" level="3" memberPropertyField="1">
      <sharedItems count="1">
        <s v="January"/>
      </sharedItems>
    </cacheField>
    <cacheField name="[Data].[Kalendarz].[Data].[Miesiac Nr]" caption="Miesiac Nr" propertyName="Miesiac Nr" numFmtId="0" hierarchy="10" level="3" memberPropertyField="1">
      <sharedItems containsSemiMixedTypes="0" containsString="0" containsNumber="1" containsInteger="1" minValue="1" maxValue="1" count="1">
        <n v="1"/>
      </sharedItems>
    </cacheField>
    <cacheField name="[Data].[Kalendarz].[Data].[Swieto]" caption="Swieto" propertyName="Swieto" numFmtId="0" hierarchy="10" level="3" memberPropertyField="1">
      <sharedItems count="2">
        <b v="1"/>
        <b v="0"/>
      </sharedItems>
    </cacheField>
    <cacheField name="[Measures].[Interwencje Fakty Count]" caption="Interwencje Fakty Count" numFmtId="0" hierarchy="87" level="32767"/>
    <cacheField name="[Measures].[Patrole Fakty Count]" caption="Patrole Fakty Count" numFmtId="0" hierarchy="93" level="32767"/>
    <cacheField name="[Zdarzenia].[Kategoria].[Kategoria]" caption="Kategoria" numFmtId="0" hierarchy="67" level="1">
      <sharedItems containsSemiMixedTypes="0" containsString="0"/>
    </cacheField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>
      <fieldsUsage count="4">
        <fieldUsage x="-1"/>
        <fieldUsage x="0"/>
        <fieldUsage x="1"/>
        <fieldUsage x="2"/>
      </fieldsUsage>
    </cacheHierarchy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0" unbalanced="0"/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0" unbalanced="0"/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>
      <fieldsUsage count="2">
        <fieldUsage x="-1"/>
        <fieldUsage x="13"/>
      </fieldsUsage>
    </cacheHierarchy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 oneField="1">
      <fieldsUsage count="1">
        <fieldUsage x="11"/>
      </fieldsUsage>
    </cacheHierarchy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/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 oneField="1">
      <fieldsUsage count="1">
        <fieldUsage x="12"/>
      </fieldsUsage>
    </cacheHierarchy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4505902776" backgroundQuery="1" createdVersion="8" refreshedVersion="8" minRefreshableVersion="3" recordCount="0" supportSubquery="1" supportAdvancedDrill="1" xr:uid="{822BC2E9-53CA-4CCE-806D-6DDBDED0AC37}">
  <cacheSource type="external" connectionId="1"/>
  <cacheFields count="5">
    <cacheField name="[Miejsce].[Dzielnica].[Dzielnica]" caption="Dzielnica" numFmtId="0" hierarchy="40" level="1">
      <sharedItems count="8">
        <s v="[Miejsce].[Dzielnica].&amp;[Brzezno]" c="Brzezno"/>
        <s v="[Miejsce].[Dzielnica].&amp;[Chelm]" c="Chelm"/>
        <s v="[Miejsce].[Dzielnica].&amp;[Jasien]" c="Jasien"/>
        <s v="[Miejsce].[Dzielnica].&amp;[Matarnia]" c="Matarnia"/>
        <s v="[Miejsce].[Dzielnica].&amp;[Oliwa]" c="Oliwa"/>
        <s v="[Miejsce].[Dzielnica].&amp;[Przymorze]" c="Przymorze"/>
        <s v="[Miejsce].[Dzielnica].&amp;[Srodmiescie]" c="Srodmiescie"/>
        <s v="[Miejsce].[Dzielnica].&amp;[Wrzeszcz]" c="Wrzeszcz"/>
      </sharedItems>
    </cacheField>
    <cacheField name="[Data].[Rok].[Rok]" caption="Rok" numFmtId="0" hierarchy="13" level="1">
      <sharedItems count="1">
        <s v="[Data].[Rok].&amp;[2025]" c="2025"/>
      </sharedItems>
    </cacheField>
    <cacheField name="[Measures].[Interwencje Fakty Count]" caption="Interwencje Fakty Count" numFmtId="0" hierarchy="87" level="32767"/>
    <cacheField name="[Measures].[Patrole Fakty Count]" caption="Patrole Fakty Count" numFmtId="0" hierarchy="93" level="32767"/>
    <cacheField name="[Zdarzenia].[Kategoria].[Kategoria]" caption="Kategoria" numFmtId="0" hierarchy="67" level="1">
      <sharedItems containsSemiMixedTypes="0" containsString="0"/>
    </cacheField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2" unbalanced="0">
      <fieldsUsage count="2">
        <fieldUsage x="-1"/>
        <fieldUsage x="1"/>
      </fieldsUsage>
    </cacheHierarchy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2" unbalanced="0">
      <fieldsUsage count="2">
        <fieldUsage x="-1"/>
        <fieldUsage x="0"/>
      </fieldsUsage>
    </cacheHierarchy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0" unbalanced="0"/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>
      <fieldsUsage count="2">
        <fieldUsage x="-1"/>
        <fieldUsage x="4"/>
      </fieldsUsage>
    </cacheHierarchy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 oneField="1">
      <fieldsUsage count="1">
        <fieldUsage x="2"/>
      </fieldsUsage>
    </cacheHierarchy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/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 oneField="1">
      <fieldsUsage count="1">
        <fieldUsage x="3"/>
      </fieldsUsage>
    </cacheHierarchy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4961921295" backgroundQuery="1" createdVersion="8" refreshedVersion="8" minRefreshableVersion="3" recordCount="0" supportSubquery="1" supportAdvancedDrill="1" xr:uid="{644F85F9-620E-4C60-98ED-1C62154FCEB0}">
  <cacheSource type="external" connectionId="1"/>
  <cacheFields count="12">
    <cacheField name="[Data].[Kalendarz].[Rok]" caption="Rok" numFmtId="0" hierarchy="10" level="1">
      <sharedItems count="1">
        <s v="[Data].[Kalendarz].[Rok].&amp;[2025]" c="2025"/>
      </sharedItems>
    </cacheField>
    <cacheField name="[Data].[Kalendarz].[Miesiac]" caption="Miesiac" numFmtId="0" hierarchy="10" level="2" mappingCount="1">
      <sharedItems count="1">
        <s v="[Data].[Kalendarz].[Miesiac].&amp;[2025]&amp;[1]" c="January"/>
      </sharedItems>
      <mpMap v="3"/>
    </cacheField>
    <cacheField name="[Data].[Kalendarz].[Data]" caption="Data" numFmtId="0" hierarchy="10" level="3" mappingCount="7">
      <sharedItems count="2">
        <s v="[Data].[Kalendarz].[Data].&amp;[2025-01-01T00:00:00]" c="2025-01-01"/>
        <s v="[Data].[Kalendarz].[Data].&amp;[2025-01-03T00:00:00]" c="2025-01-03"/>
      </sharedItems>
      <mpMap v="4"/>
      <mpMap v="5"/>
      <mpMap v="6"/>
      <mpMap v="7"/>
      <mpMap v="8"/>
      <mpMap v="9"/>
      <mpMap v="10"/>
    </cacheField>
    <cacheField name="[Data].[Kalendarz].[Miesiac].[Rok]" caption="Rok" propertyName="Rok" numFmtId="0" hierarchy="10" level="2" memberPropertyField="1">
      <sharedItems containsSemiMixedTypes="0" containsString="0" containsNumber="1" containsInteger="1" minValue="2025" maxValue="2025" count="1">
        <n v="2025"/>
      </sharedItems>
    </cacheField>
    <cacheField name="[Data].[Kalendarz].[Data].[Czas Wakacyjny]" caption="Czas Wakacyjny" propertyName="Czas Wakacyjny" numFmtId="0" hierarchy="10" level="3" memberPropertyField="1">
      <sharedItems count="1">
        <b v="0"/>
      </sharedItems>
    </cacheField>
    <cacheField name="[Data].[Kalendarz].[Data].[Dzien Pracujacy]" caption="Dzien Pracujacy" propertyName="Dzien Pracujacy" numFmtId="0" hierarchy="10" level="3" memberPropertyField="1">
      <sharedItems count="2">
        <b v="0"/>
        <b v="1"/>
      </sharedItems>
    </cacheField>
    <cacheField name="[Data].[Kalendarz].[Data].[Dzien Przedswiateczny]" caption="Dzien Przedswiateczny" propertyName="Dzien Przedswiateczny" numFmtId="0" hierarchy="10" level="3" memberPropertyField="1">
      <sharedItems count="1">
        <b v="0"/>
      </sharedItems>
    </cacheField>
    <cacheField name="[Data].[Kalendarz].[Data].[Dzien Tygodnia]" caption="Dzien Tygodnia" propertyName="Dzien Tygodnia" numFmtId="0" hierarchy="10" level="3" memberPropertyField="1">
      <sharedItems count="2">
        <s v="Wednesday"/>
        <s v="Friday"/>
      </sharedItems>
    </cacheField>
    <cacheField name="[Data].[Kalendarz].[Data].[Miesiac]" caption="Miesiac" propertyName="Miesiac" numFmtId="0" hierarchy="10" level="3" memberPropertyField="1">
      <sharedItems count="1">
        <s v="January"/>
      </sharedItems>
    </cacheField>
    <cacheField name="[Data].[Kalendarz].[Data].[Miesiac Nr]" caption="Miesiac Nr" propertyName="Miesiac Nr" numFmtId="0" hierarchy="10" level="3" memberPropertyField="1">
      <sharedItems containsSemiMixedTypes="0" containsString="0" containsNumber="1" containsInteger="1" minValue="1" maxValue="1" count="1">
        <n v="1"/>
      </sharedItems>
    </cacheField>
    <cacheField name="[Data].[Kalendarz].[Data].[Swieto]" caption="Swieto" propertyName="Swieto" numFmtId="0" hierarchy="10" level="3" memberPropertyField="1">
      <sharedItems count="2">
        <b v="1"/>
        <b v="0"/>
      </sharedItems>
    </cacheField>
    <cacheField name="[Measures].[Srednia_liczba_interwencji_na_patrol]" caption="Srednia_liczba_interwencji_na_patrol" numFmtId="0" hierarchy="95" level="32767"/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>
      <fieldsUsage count="4">
        <fieldUsage x="-1"/>
        <fieldUsage x="0"/>
        <fieldUsage x="1"/>
        <fieldUsage x="2"/>
      </fieldsUsage>
    </cacheHierarchy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0" unbalanced="0"/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0" unbalanced="0"/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/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/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 oneField="1">
      <fieldsUsage count="1">
        <fieldUsage x="11"/>
      </fieldsUsage>
    </cacheHierarchy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597766204" backgroundQuery="1" createdVersion="8" refreshedVersion="8" minRefreshableVersion="3" recordCount="0" supportSubquery="1" supportAdvancedDrill="1" xr:uid="{E6A32946-0923-40FD-843F-1F2D75E043D8}">
  <cacheSource type="external" connectionId="1"/>
  <cacheFields count="4">
    <cacheField name="[Data].[Dzien Tygodnia].[Dzien Tygodnia]" caption="Dzien Tygodnia" numFmtId="0" hierarchy="8" level="1">
      <sharedItems count="2">
        <s v="[Data].[Dzien Tygodnia].&amp;[Friday]" c="Friday"/>
        <s v="[Data].[Dzien Tygodnia].&amp;[Wednesday]" c="Wednesday"/>
      </sharedItems>
    </cacheField>
    <cacheField name="[Czas].[Pora Dnia].[Pora Dnia]" caption="Pora Dnia" numFmtId="0" hierarchy="3" level="1">
      <sharedItems count="4">
        <s v="[Czas].[Pora Dnia].&amp;[okolo poludnia]" c="okolo poludnia"/>
        <s v="[Czas].[Pora Dnia].&amp;[po poludniu]" c="po poludniu"/>
        <s v="[Czas].[Pora Dnia].&amp;[rano]" c="rano"/>
        <s v="[Czas].[Pora Dnia].&amp;[wieczorem]" c="wieczorem"/>
      </sharedItems>
    </cacheField>
    <cacheField name="[Measures].[Interwencje Fakty Count]" caption="Interwencje Fakty Count" numFmtId="0" hierarchy="87" level="32767"/>
    <cacheField name="[Zdarzenia].[Kategoria].[Kategoria]" caption="Kategoria" numFmtId="0" hierarchy="67" level="1">
      <sharedItems containsSemiMixedTypes="0" containsString="0"/>
    </cacheField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2" unbalanced="0">
      <fieldsUsage count="2">
        <fieldUsage x="-1"/>
        <fieldUsage x="1"/>
      </fieldsUsage>
    </cacheHierarchy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2" unbalanced="0">
      <fieldsUsage count="2">
        <fieldUsage x="-1"/>
        <fieldUsage x="0"/>
      </fieldsUsage>
    </cacheHierarchy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0" unbalanced="0"/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0" unbalanced="0"/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>
      <fieldsUsage count="2">
        <fieldUsage x="-1"/>
        <fieldUsage x="3"/>
      </fieldsUsage>
    </cacheHierarchy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 oneField="1">
      <fieldsUsage count="1">
        <fieldUsage x="2"/>
      </fieldsUsage>
    </cacheHierarchy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/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6466319443" backgroundQuery="1" createdVersion="8" refreshedVersion="8" minRefreshableVersion="3" recordCount="0" supportSubquery="1" supportAdvancedDrill="1" xr:uid="{7ED4ECB7-1DFF-4060-BCDC-307BADC5E0A8}">
  <cacheSource type="external" connectionId="1"/>
  <cacheFields count="3">
    <cacheField name="[Data].[Miesiac].[Miesiac]" caption="Miesiac" numFmtId="0" hierarchy="11" level="1" mappingCount="1">
      <sharedItems count="1">
        <s v="[Data].[Miesiac].&amp;[2025]&amp;[1]" c="January"/>
      </sharedItems>
      <mpMap v="1"/>
    </cacheField>
    <cacheField name="[Data].[Miesiac].[Miesiac].[Rok]" caption="Rok" propertyName="Rok" numFmtId="0" hierarchy="11" level="1" memberPropertyField="1">
      <sharedItems containsSemiMixedTypes="0" containsString="0" containsNumber="1" containsInteger="1" minValue="2025" maxValue="2025" count="1">
        <n v="2025"/>
      </sharedItems>
    </cacheField>
    <cacheField name="[Measures].[Patrole Fakty Count]" caption="Patrole Fakty Count" numFmtId="0" hierarchy="93" level="32767"/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2" unbalanced="0">
      <fieldsUsage count="2">
        <fieldUsage x="-1"/>
        <fieldUsage x="0"/>
      </fieldsUsage>
    </cacheHierarchy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0" unbalanced="0"/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0" unbalanced="0"/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/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/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 oneField="1">
      <fieldsUsage count="1">
        <fieldUsage x="2"/>
      </fieldsUsage>
    </cacheHierarchy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6888425924" backgroundQuery="1" createdVersion="8" refreshedVersion="8" minRefreshableVersion="3" recordCount="0" supportSubquery="1" supportAdvancedDrill="1" xr:uid="{B79678CE-7318-4EEA-B252-E185862E2A9F}">
  <cacheSource type="external" connectionId="1"/>
  <cacheFields count="3">
    <cacheField name="[Miejsce].[Dzielnica].[Dzielnica]" caption="Dzielnica" numFmtId="0" hierarchy="40" level="1">
      <sharedItems count="8">
        <s v="[Miejsce].[Dzielnica].&amp;[Brzezno]" c="Brzezno"/>
        <s v="[Miejsce].[Dzielnica].&amp;[Chelm]" c="Chelm"/>
        <s v="[Miejsce].[Dzielnica].&amp;[Jasien]" c="Jasien"/>
        <s v="[Miejsce].[Dzielnica].&amp;[Matarnia]" c="Matarnia"/>
        <s v="[Miejsce].[Dzielnica].&amp;[Oliwa]" c="Oliwa"/>
        <s v="[Miejsce].[Dzielnica].&amp;[Przymorze]" c="Przymorze"/>
        <s v="[Miejsce].[Dzielnica].&amp;[Srodmiescie]" c="Srodmiescie"/>
        <s v="[Miejsce].[Dzielnica].&amp;[Wrzeszcz]" c="Wrzeszcz"/>
      </sharedItems>
    </cacheField>
    <cacheField name="[Zdarzenia].[Rodzaj].[Rodzaj]" caption="Rodzaj" numFmtId="0" hierarchy="68" level="1">
      <sharedItems count="3">
        <s v="[Zdarzenia].[Rodzaj].&amp;[Inne]" c="Inne"/>
        <s v="[Zdarzenia].[Rodzaj].&amp;[Kolizja]" c="Kolizja"/>
        <s v="[Zdarzenia].[Rodzaj].&amp;[Wypadek]" c="Wypadek"/>
      </sharedItems>
    </cacheField>
    <cacheField name="[Measures].[Interwencje Fakty Count]" caption="Interwencje Fakty Count" numFmtId="0" hierarchy="87" level="32767"/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2" unbalanced="0">
      <fieldsUsage count="2">
        <fieldUsage x="-1"/>
        <fieldUsage x="0"/>
      </fieldsUsage>
    </cacheHierarchy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0" unbalanced="0"/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2" unbalanced="0">
      <fieldsUsage count="2">
        <fieldUsage x="-1"/>
        <fieldUsage x="1"/>
      </fieldsUsage>
    </cacheHierarchy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 oneField="1">
      <fieldsUsage count="1">
        <fieldUsage x="2"/>
      </fieldsUsage>
    </cacheHierarchy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/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8055208331" backgroundQuery="1" createdVersion="8" refreshedVersion="8" minRefreshableVersion="3" recordCount="0" supportSubquery="1" supportAdvancedDrill="1" xr:uid="{091CEC33-A1C4-4C50-B31E-E6D853EB5769}">
  <cacheSource type="external" connectionId="1"/>
  <cacheFields count="3">
    <cacheField name="[Miejsce].[Dzielnica].[Dzielnica]" caption="Dzielnica" numFmtId="0" hierarchy="40" level="1">
      <sharedItems count="8">
        <s v="[Miejsce].[Dzielnica].&amp;[Brzezno]" c="Brzezno"/>
        <s v="[Miejsce].[Dzielnica].&amp;[Chelm]" c="Chelm"/>
        <s v="[Miejsce].[Dzielnica].&amp;[Jasien]" c="Jasien"/>
        <s v="[Miejsce].[Dzielnica].&amp;[Matarnia]" c="Matarnia"/>
        <s v="[Miejsce].[Dzielnica].&amp;[Oliwa]" c="Oliwa"/>
        <s v="[Miejsce].[Dzielnica].&amp;[Przymorze]" c="Przymorze"/>
        <s v="[Miejsce].[Dzielnica].&amp;[Srodmiescie]" c="Srodmiescie"/>
        <s v="[Miejsce].[Dzielnica].&amp;[Wrzeszcz]" c="Wrzeszcz"/>
      </sharedItems>
    </cacheField>
    <cacheField name="[Czas].[Godzina].[Godzina]" caption="Godzina" numFmtId="0" level="1">
      <sharedItems count="6">
        <s v="[Czas].[Godzina].&amp;[07:00:00.0000000]" c="07:00:00.0000000"/>
        <s v="[Czas].[Godzina].&amp;[08:00:00.0000000]" c="08:00:00.0000000"/>
        <s v="[Czas].[Godzina].&amp;[14:00:00.0000000]" c="14:00:00.0000000"/>
        <s v="[Czas].[Godzina].&amp;[15:00:00.0000000]" c="15:00:00.0000000"/>
        <s v="[Czas].[Godzina].&amp;[16:00:00.0000000]" c="16:00:00.0000000"/>
        <s v="[Czas].[Godzina].&amp;[17:00:00.0000000]" c="17:00:00.0000000"/>
      </sharedItems>
    </cacheField>
    <cacheField name="[Measures].[Interwencje Fakty Count]" caption="Interwencje Fakty Count" numFmtId="0" hierarchy="87" level="32767"/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2" unbalanced="0">
      <fieldsUsage count="2">
        <fieldUsage x="-1"/>
        <fieldUsage x="1"/>
      </fieldsUsage>
    </cacheHierarchy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2" unbalanced="0">
      <fieldsUsage count="2">
        <fieldUsage x="-1"/>
        <fieldUsage x="0"/>
      </fieldsUsage>
    </cacheHierarchy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0" unbalanced="0"/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 oneField="1">
      <fieldsUsage count="1">
        <fieldUsage x="2"/>
      </fieldsUsage>
    </cacheHierarchy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/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8469791668" backgroundQuery="1" createdVersion="8" refreshedVersion="8" minRefreshableVersion="3" recordCount="0" supportSubquery="1" supportAdvancedDrill="1" xr:uid="{671E419A-77FC-4E15-8B27-BCEC8A7F2309}">
  <cacheSource type="external" connectionId="1"/>
  <cacheFields count="3">
    <cacheField name="[Zdarzenia].[Rodzaj].[Rodzaj]" caption="Rodzaj" numFmtId="0" hierarchy="68" level="1">
      <sharedItems count="3">
        <s v="[Zdarzenia].[Rodzaj].&amp;[Inne]" c="Inne"/>
        <s v="[Zdarzenia].[Rodzaj].&amp;[Kolizja]" c="Kolizja"/>
        <s v="[Zdarzenia].[Rodzaj].&amp;[Wypadek]" c="Wypadek"/>
      </sharedItems>
    </cacheField>
    <cacheField name="[Opis Kary].[Rodzaj].[Rodzaj]" caption="Rodzaj" numFmtId="0" hierarchy="53" level="1">
      <sharedItems count="3">
        <s v="[Opis Kary].[Rodzaj].&amp;[Mandat]" c="Mandat"/>
        <s v="[Opis Kary].[Rodzaj].&amp;[Pouczenie]" c="Pouczenie"/>
        <s v="[Opis Kary].[Rodzaj].&amp;[Wniosek do sadu]" c="Wniosek do sadu"/>
      </sharedItems>
    </cacheField>
    <cacheField name="[Measures].[Kary Fakty Count]" caption="Kary Fakty Count" numFmtId="0" hierarchy="90" level="32767"/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0" unbalanced="0"/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2" unbalanced="0">
      <fieldsUsage count="2">
        <fieldUsage x="-1"/>
        <fieldUsage x="1"/>
      </fieldsUsage>
    </cacheHierarchy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2" unbalanced="0">
      <fieldsUsage count="2">
        <fieldUsage x="-1"/>
        <fieldUsage x="0"/>
      </fieldsUsage>
    </cacheHierarchy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/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 oneField="1">
      <fieldsUsage count="1">
        <fieldUsage x="2"/>
      </fieldsUsage>
    </cacheHierarchy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9033564813" backgroundQuery="1" createdVersion="8" refreshedVersion="8" minRefreshableVersion="3" recordCount="0" supportSubquery="1" supportAdvancedDrill="1" xr:uid="{7FFFB0F3-49B0-4260-B4F0-1D5FF86EAEAE}">
  <cacheSource type="external" connectionId="1"/>
  <cacheFields count="3">
    <cacheField name="[Zdarzenia].[Rodzaj].[Rodzaj]" caption="Rodzaj" numFmtId="0" hierarchy="68" level="1">
      <sharedItems count="3">
        <s v="[Zdarzenia].[Rodzaj].&amp;[Inne]" c="Inne"/>
        <s v="[Zdarzenia].[Rodzaj].&amp;[Kolizja]" c="Kolizja"/>
        <s v="[Zdarzenia].[Rodzaj].&amp;[Wypadek]" c="Wypadek"/>
      </sharedItems>
    </cacheField>
    <cacheField name="[Measures].[Kary Fakty Count]" caption="Kary Fakty Count" numFmtId="0" hierarchy="90" level="32767"/>
    <cacheField name="[Opis Kary].[Rodzaj].[Rodzaj]" caption="Rodzaj" numFmtId="0" hierarchy="53" level="1">
      <sharedItems containsSemiMixedTypes="0" containsString="0"/>
    </cacheField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0" unbalanced="0"/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2" unbalanced="0">
      <fieldsUsage count="2">
        <fieldUsage x="-1"/>
        <fieldUsage x="2"/>
      </fieldsUsage>
    </cacheHierarchy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2" unbalanced="0">
      <fieldsUsage count="2">
        <fieldUsage x="-1"/>
        <fieldUsage x="0"/>
      </fieldsUsage>
    </cacheHierarchy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/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 oneField="1">
      <fieldsUsage count="1">
        <fieldUsage x="1"/>
      </fieldsUsage>
    </cacheHierarchy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9411458333" backgroundQuery="1" createdVersion="8" refreshedVersion="8" minRefreshableVersion="3" recordCount="0" supportSubquery="1" supportAdvancedDrill="1" xr:uid="{8FF1E1B7-B218-4437-BC58-9A90E68BF2A0}">
  <cacheSource type="external" connectionId="1"/>
  <cacheFields count="3">
    <cacheField name="[Opis Patrolu].[Nr Odznaki Kierowcy].[Nr Odznaki Kierowcy]" caption="Nr Odznaki Kierowcy" numFmtId="0" hierarchy="60" level="1">
      <sharedItems count="17">
        <s v="[Opis Patrolu].[Nr Odznaki Kierowcy].&amp;[160412]" c="160412"/>
        <s v="[Opis Patrolu].[Nr Odznaki Kierowcy].&amp;[233898]" c="233898"/>
        <s v="[Opis Patrolu].[Nr Odznaki Kierowcy].&amp;[257288]" c="257288"/>
        <s v="[Opis Patrolu].[Nr Odznaki Kierowcy].&amp;[302459]" c="302459"/>
        <s v="[Opis Patrolu].[Nr Odznaki Kierowcy].&amp;[315138]" c="315138"/>
        <s v="[Opis Patrolu].[Nr Odznaki Kierowcy].&amp;[450770]" c="450770"/>
        <s v="[Opis Patrolu].[Nr Odznaki Kierowcy].&amp;[493961]" c="493961"/>
        <s v="[Opis Patrolu].[Nr Odznaki Kierowcy].&amp;[551817]" c="551817"/>
        <s v="[Opis Patrolu].[Nr Odznaki Kierowcy].&amp;[564132]" c="564132"/>
        <s v="[Opis Patrolu].[Nr Odznaki Kierowcy].&amp;[644389]" c="644389"/>
        <s v="[Opis Patrolu].[Nr Odznaki Kierowcy].&amp;[694045]" c="694045"/>
        <s v="[Opis Patrolu].[Nr Odznaki Kierowcy].&amp;[810023]" c="810023"/>
        <s v="[Opis Patrolu].[Nr Odznaki Kierowcy].&amp;[849277]" c="849277"/>
        <s v="[Opis Patrolu].[Nr Odznaki Kierowcy].&amp;[866152]" c="866152"/>
        <s v="[Opis Patrolu].[Nr Odznaki Kierowcy].&amp;[880725]" c="880725"/>
        <s v="[Opis Patrolu].[Nr Odznaki Kierowcy].&amp;[985905]" c="985905"/>
        <s v="[Opis Patrolu].[Nr Odznaki Kierowcy].&amp;[998435]" c="998435"/>
      </sharedItems>
    </cacheField>
    <cacheField name="[Opis Kary].[Rodzaj].[Rodzaj]" caption="Rodzaj" numFmtId="0" hierarchy="53" level="1">
      <sharedItems count="3">
        <s v="[Opis Kary].[Rodzaj].&amp;[Mandat]" c="Mandat"/>
        <s v="[Opis Kary].[Rodzaj].&amp;[Pouczenie]" c="Pouczenie"/>
        <s v="[Opis Kary].[Rodzaj].&amp;[Wniosek do sadu]" c="Wniosek do sadu"/>
      </sharedItems>
    </cacheField>
    <cacheField name="[Measures].[Kary Fakty Count]" caption="Kary Fakty Count" numFmtId="0" hierarchy="90" level="32767"/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0" unbalanced="0"/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2" unbalanced="0">
      <fieldsUsage count="2">
        <fieldUsage x="-1"/>
        <fieldUsage x="1"/>
      </fieldsUsage>
    </cacheHierarchy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2" unbalanced="0">
      <fieldsUsage count="2">
        <fieldUsage x="-1"/>
        <fieldUsage x="0"/>
      </fieldsUsage>
    </cacheHierarchy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/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 oneField="1">
      <fieldsUsage count="1">
        <fieldUsage x="2"/>
      </fieldsUsage>
    </cacheHierarchy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09768055555" backgroundQuery="1" createdVersion="8" refreshedVersion="8" minRefreshableVersion="3" recordCount="0" supportSubquery="1" supportAdvancedDrill="1" xr:uid="{6B817C8F-44F9-4013-BF4D-16A2889747FE}">
  <cacheSource type="external" connectionId="1"/>
  <cacheFields count="3">
    <cacheField name="[Miejsce].[Dzielnica].[Dzielnica]" caption="Dzielnica" numFmtId="0" hierarchy="40" level="1">
      <sharedItems count="8">
        <s v="[Miejsce].[Dzielnica].&amp;[Brzezno]" c="Brzezno"/>
        <s v="[Miejsce].[Dzielnica].&amp;[Chelm]" c="Chelm"/>
        <s v="[Miejsce].[Dzielnica].&amp;[Jasien]" c="Jasien"/>
        <s v="[Miejsce].[Dzielnica].&amp;[Matarnia]" c="Matarnia"/>
        <s v="[Miejsce].[Dzielnica].&amp;[Oliwa]" c="Oliwa"/>
        <s v="[Miejsce].[Dzielnica].&amp;[Przymorze]" c="Przymorze"/>
        <s v="[Miejsce].[Dzielnica].&amp;[Srodmiescie]" c="Srodmiescie"/>
        <s v="[Miejsce].[Dzielnica].&amp;[Wrzeszcz]" c="Wrzeszcz"/>
      </sharedItems>
    </cacheField>
    <cacheField name="[Opis Kary].[Rodzaj].[Rodzaj]" caption="Rodzaj" numFmtId="0" hierarchy="53" level="1">
      <sharedItems count="3">
        <s v="[Opis Kary].[Rodzaj].&amp;[Mandat]" c="Mandat"/>
        <s v="[Opis Kary].[Rodzaj].&amp;[Pouczenie]" c="Pouczenie"/>
        <s v="[Opis Kary].[Rodzaj].&amp;[Wniosek do sadu]" c="Wniosek do sadu"/>
      </sharedItems>
    </cacheField>
    <cacheField name="[Measures].[Kary Fakty Count]" caption="Kary Fakty Count" numFmtId="0" hierarchy="90" level="32767"/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2" unbalanced="0">
      <fieldsUsage count="2">
        <fieldUsage x="-1"/>
        <fieldUsage x="0"/>
      </fieldsUsage>
    </cacheHierarchy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2" unbalanced="0">
      <fieldsUsage count="2">
        <fieldUsage x="-1"/>
        <fieldUsage x="1"/>
      </fieldsUsage>
    </cacheHierarchy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/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 oneField="1">
      <fieldsUsage count="1">
        <fieldUsage x="2"/>
      </fieldsUsage>
    </cacheHierarchy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10257870374" backgroundQuery="1" createdVersion="8" refreshedVersion="8" minRefreshableVersion="3" recordCount="0" supportSubquery="1" supportAdvancedDrill="1" xr:uid="{B053FA9D-75C1-4563-81BD-CF68E4E50528}">
  <cacheSource type="external" connectionId="1"/>
  <cacheFields count="4">
    <cacheField name="[Miejsce].[Dzielnica].[Dzielnica]" caption="Dzielnica" numFmtId="0" hierarchy="40" level="1">
      <sharedItems count="6">
        <s v="[Miejsce].[Dzielnica].&amp;[Chelm]" c="Chelm"/>
        <s v="[Miejsce].[Dzielnica].&amp;[Matarnia]" c="Matarnia"/>
        <s v="[Miejsce].[Dzielnica].&amp;[Oliwa]" c="Oliwa"/>
        <s v="[Miejsce].[Dzielnica].&amp;[Przymorze]" c="Przymorze"/>
        <s v="[Miejsce].[Dzielnica].&amp;[Srodmiescie]" c="Srodmiescie"/>
        <s v="[Miejsce].[Dzielnica].&amp;[Wrzeszcz]" c="Wrzeszcz"/>
      </sharedItems>
    </cacheField>
    <cacheField name="[Measures].[Kary Fakty Count]" caption="Kary Fakty Count" numFmtId="0" hierarchy="90" level="32767"/>
    <cacheField name="[Measures].[Interwencje Fakty Count]" caption="Interwencje Fakty Count" numFmtId="0" hierarchy="87" level="32767"/>
    <cacheField name="[Opis Kary].[Rodzaj].[Rodzaj]" caption="Rodzaj" numFmtId="0" hierarchy="53" level="1">
      <sharedItems containsSemiMixedTypes="0" containsString="0"/>
    </cacheField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2" unbalanced="0">
      <fieldsUsage count="2">
        <fieldUsage x="-1"/>
        <fieldUsage x="0"/>
      </fieldsUsage>
    </cacheHierarchy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2" unbalanced="0">
      <fieldsUsage count="2">
        <fieldUsage x="-1"/>
        <fieldUsage x="3"/>
      </fieldsUsage>
    </cacheHierarchy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0" unbalanced="0"/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 oneField="1">
      <fieldsUsage count="1">
        <fieldUsage x="2"/>
      </fieldsUsage>
    </cacheHierarchy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 oneField="1">
      <fieldsUsage count="1">
        <fieldUsage x="1"/>
      </fieldsUsage>
    </cacheHierarchy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lo1" refreshedDate="45986.010525115744" backgroundQuery="1" createdVersion="8" refreshedVersion="8" minRefreshableVersion="3" recordCount="0" supportSubquery="1" supportAdvancedDrill="1" xr:uid="{16410520-2C20-4D70-BAB3-97001E8A8AC6}">
  <cacheSource type="external" connectionId="1"/>
  <cacheFields count="3">
    <cacheField name="[Zdarzenia].[Rodzaj].[Rodzaj]" caption="Rodzaj" numFmtId="0" hierarchy="68" level="1">
      <sharedItems count="3">
        <s v="[Zdarzenia].[Rodzaj].&amp;[Inne]" c="Inne"/>
        <s v="[Zdarzenia].[Rodzaj].&amp;[Kolizja]" c="Kolizja"/>
        <s v="[Zdarzenia].[Rodzaj].&amp;[Wypadek]" c="Wypadek"/>
      </sharedItems>
    </cacheField>
    <cacheField name="[Opis Kary].[Rodzaj].[Rodzaj]" caption="Rodzaj" numFmtId="0" hierarchy="53" level="1">
      <sharedItems count="3">
        <s v="[Opis Kary].[Rodzaj].&amp;[Mandat]" c="Mandat"/>
        <s v="[Opis Kary].[Rodzaj].&amp;[Pouczenie]" c="Pouczenie"/>
        <s v="[Opis Kary].[Rodzaj].&amp;[Wniosek do sadu]" c="Wniosek do sadu"/>
      </sharedItems>
    </cacheField>
    <cacheField name="[Measures].[Kary Fakty Count]" caption="Kary Fakty Count" numFmtId="0" hierarchy="90" level="32767"/>
  </cacheFields>
  <cacheHierarchies count="98">
    <cacheHierarchy uniqueName="[Czas].[Godzina]" caption="Czas.Godzina" attribute="1" time="1" defaultMemberUniqueName="[Czas].[Godzina].[All]" allUniqueName="[Czas].[Godzina].[All]" dimensionUniqueName="[Czas]" displayFolder="" count="0" unbalanced="0"/>
    <cacheHierarchy uniqueName="[Czas].[Hierarchia Czasu]" caption="Czas.Hierarchia Czasu" time="1" defaultMemberUniqueName="[Czas].[Hierarchia Czasu].[All]" allUniqueName="[Czas].[Hierarchia Czasu].[All]" dimensionUniqueName="[Czas]" displayFolder="" count="3" unbalanced="0"/>
    <cacheHierarchy uniqueName="[Czas].[ID Czasu]" caption="Czas.ID Czasu" attribute="1" time="1" keyAttribute="1" defaultMemberUniqueName="[Czas].[ID Czasu].[All]" allUniqueName="[Czas].[ID Czasu].[All]" dimensionUniqueName="[Czas]" displayFolder="" count="0" memberValueDatatype="3" unbalanced="0"/>
    <cacheHierarchy uniqueName="[Czas].[Pora Dnia]" caption="Czas.Pora Dnia" attribute="1" time="1" defaultMemberUniqueName="[Czas].[Pora Dnia].[All]" allUniqueName="[Czas].[Pora Dnia].[All]" dimensionUniqueName="[Czas]" displayFolder="" count="0" unbalanced="0"/>
    <cacheHierarchy uniqueName="[Data].[Czas Wakacyjny]" caption="Data.Czas Wakacyjny" attribute="1" time="1" defaultMemberUniqueName="[Data].[Czas Wakacyjny].[All]" allUniqueName="[Data].[Czas Wakacyjny].[All]" dimensionUniqueName="[Data]" displayFolder="" count="0" unbalanced="0"/>
    <cacheHierarchy uniqueName="[Data].[Data]" caption="Data.Data" attribute="1" time="1" defaultMemberUniqueName="[Data].[Data].[All]" allUniqueName="[Data].[Data].[All]" dimensionUniqueName="[Data]" displayFolder="" count="0" unbalanced="0"/>
    <cacheHierarchy uniqueName="[Data].[Dzien Pracujacy]" caption="Data.Dzien Pracujacy" attribute="1" time="1" defaultMemberUniqueName="[Data].[Dzien Pracujacy].[All]" allUniqueName="[Data].[Dzien Pracujacy].[All]" dimensionUniqueName="[Data]" displayFolder="" count="0" unbalanced="0"/>
    <cacheHierarchy uniqueName="[Data].[Dzien Przedswiateczny]" caption="Data.Dzien Przedswiateczny" attribute="1" time="1" defaultMemberUniqueName="[Data].[Dzien Przedswiateczny].[All]" allUniqueName="[Data].[Dzien Przedswiateczny].[All]" dimensionUniqueName="[Data]" displayFolder="" count="0" unbalanced="0"/>
    <cacheHierarchy uniqueName="[Data].[Dzien Tygodnia]" caption="Data.Dzien Tygodnia" attribute="1" time="1" defaultMemberUniqueName="[Data].[Dzien Tygodnia].[All]" allUniqueName="[Data].[Dzien Tygodnia].[All]" dimensionUniqueName="[Data]" displayFolder="" count="0" unbalanced="0"/>
    <cacheHierarchy uniqueName="[Data].[ID Daty]" caption="Data.ID Daty" attribute="1" time="1" keyAttribute="1" defaultMemberUniqueName="[Data].[ID Daty].[All]" allUniqueName="[Data].[ID Daty].[All]" dimensionUniqueName="[Data]" displayFolder="" count="0" memberValueDatatype="3" unbalanced="0"/>
    <cacheHierarchy uniqueName="[Data].[Kalendarz]" caption="Data.Kalendarz" time="1" defaultMemberUniqueName="[Data].[Kalendarz].[All]" allUniqueName="[Data].[Kalendarz].[All]" dimensionUniqueName="[Data]" displayFolder="" count="4" unbalanced="0"/>
    <cacheHierarchy uniqueName="[Data].[Miesiac]" caption="Data.Miesiac" attribute="1" time="1" defaultMemberUniqueName="[Data].[Miesiac].[All]" allUniqueName="[Data].[Miesiac].[All]" dimensionUniqueName="[Data]" displayFolder="" count="0" unbalanced="0"/>
    <cacheHierarchy uniqueName="[Data].[Miesiac Nr]" caption="Data.Miesiac Nr" attribute="1" time="1" defaultMemberUniqueName="[Data].[Miesiac Nr].[All]" allUniqueName="[Data].[Miesiac Nr].[All]" dimensionUniqueName="[Data]" displayFolder="" count="0" unbalanced="0"/>
    <cacheHierarchy uniqueName="[Data].[Rok]" caption="Data.Rok" attribute="1" time="1" defaultMemberUniqueName="[Data].[Rok].[All]" allUniqueName="[Data].[Rok].[All]" dimensionUniqueName="[Data]" displayFolder="" count="0" unbalanced="0"/>
    <cacheHierarchy uniqueName="[Data].[Swieto]" caption="Data.Swieto" attribute="1" time="1" defaultMemberUniqueName="[Data].[Swieto].[All]" allUniqueName="[Data].[Swieto].[All]" dimensionUniqueName="[Data]" displayFolder="" count="0" unbalanced="0"/>
    <cacheHierarchy uniqueName="[ID Czasu Rozpoczecia].[Godzina]" caption="ID Czasu Rozpoczecia.Godzina" attribute="1" time="1" defaultMemberUniqueName="[ID Czasu Rozpoczecia].[Godzina].[All]" allUniqueName="[ID Czasu Rozpoczecia].[Godzina].[All]" dimensionUniqueName="[ID Czasu Rozpoczecia]" displayFolder="" count="0" unbalanced="0"/>
    <cacheHierarchy uniqueName="[ID Czasu Rozpoczecia].[Hierarchia Czasu]" caption="ID Czasu Rozpoczecia.Hierarchia Czasu" time="1" defaultMemberUniqueName="[ID Czasu Rozpoczecia].[Hierarchia Czasu].[All]" allUniqueName="[ID Czasu Rozpoczecia].[Hierarchia Czasu].[All]" dimensionUniqueName="[ID Czasu Rozpoczecia]" displayFolder="" count="3" unbalanced="0"/>
    <cacheHierarchy uniqueName="[ID Czasu Rozpoczecia].[ID Czasu]" caption="ID Czasu Rozpoczecia.ID Czasu" attribute="1" time="1" keyAttribute="1" defaultMemberUniqueName="[ID Czasu Rozpoczecia].[ID Czasu].[All]" allUniqueName="[ID Czasu Rozpoczecia].[ID Czasu].[All]" dimensionUniqueName="[ID Czasu Rozpoczecia]" displayFolder="" count="0" memberValueDatatype="3" unbalanced="0"/>
    <cacheHierarchy uniqueName="[ID Czasu Rozpoczecia].[Pora Dnia]" caption="ID Czasu Rozpoczecia.Pora Dnia" attribute="1" time="1" defaultMemberUniqueName="[ID Czasu Rozpoczecia].[Pora Dnia].[All]" allUniqueName="[ID Czasu Rozpoczecia].[Pora Dnia].[All]" dimensionUniqueName="[ID Czasu Rozpoczecia]" displayFolder="" count="0" unbalanced="0"/>
    <cacheHierarchy uniqueName="[ID Czasu Zakonczenia].[Godzina]" caption="ID Czasu Zakonczenia.Godzina" attribute="1" time="1" defaultMemberUniqueName="[ID Czasu Zakonczenia].[Godzina].[All]" allUniqueName="[ID Czasu Zakonczenia].[Godzina].[All]" dimensionUniqueName="[ID Czasu Zakonczenia]" displayFolder="" count="0" unbalanced="0"/>
    <cacheHierarchy uniqueName="[ID Czasu Zakonczenia].[Hierarchia Czasu]" caption="ID Czasu Zakonczenia.Hierarchia Czasu" time="1" defaultMemberUniqueName="[ID Czasu Zakonczenia].[Hierarchia Czasu].[All]" allUniqueName="[ID Czasu Zakonczenia].[Hierarchia Czasu].[All]" dimensionUniqueName="[ID Czasu Zakonczenia]" displayFolder="" count="3" unbalanced="0"/>
    <cacheHierarchy uniqueName="[ID Czasu Zakonczenia].[ID Czasu]" caption="ID Czasu Zakonczenia.ID Czasu" attribute="1" time="1" keyAttribute="1" defaultMemberUniqueName="[ID Czasu Zakonczenia].[ID Czasu].[All]" allUniqueName="[ID Czasu Zakonczenia].[ID Czasu].[All]" dimensionUniqueName="[ID Czasu Zakonczenia]" displayFolder="" count="0" memberValueDatatype="3" unbalanced="0"/>
    <cacheHierarchy uniqueName="[ID Czasu Zakonczenia].[Pora Dnia]" caption="ID Czasu Zakonczenia.Pora Dnia" attribute="1" time="1" defaultMemberUniqueName="[ID Czasu Zakonczenia].[Pora Dnia].[All]" allUniqueName="[ID Czasu Zakonczenia].[Pora Dnia].[All]" dimensionUniqueName="[ID Czasu Zakonczenia]" displayFolder="" count="0" unbalanced="0"/>
    <cacheHierarchy uniqueName="[ID Daty Rozpoczecia].[Czas Wakacyjny]" caption="ID Daty Rozpoczecia.Czas Wakacyjny" attribute="1" time="1" defaultMemberUniqueName="[ID Daty Rozpoczecia].[Czas Wakacyjny].[All]" allUniqueName="[ID Daty Rozpoczecia].[Czas Wakacyjny].[All]" dimensionUniqueName="[ID Daty Rozpoczecia]" displayFolder="" count="0" unbalanced="0"/>
    <cacheHierarchy uniqueName="[ID Daty Rozpoczecia].[Data]" caption="ID Daty Rozpoczecia.Data" attribute="1" time="1" defaultMemberUniqueName="[ID Daty Rozpoczecia].[Data].[All]" allUniqueName="[ID Daty Rozpoczecia].[Data].[All]" dimensionUniqueName="[ID Daty Rozpoczecia]" displayFolder="" count="0" unbalanced="0"/>
    <cacheHierarchy uniqueName="[ID Daty Rozpoczecia].[Dzien Pracujacy]" caption="ID Daty Rozpoczecia.Dzien Pracujacy" attribute="1" time="1" defaultMemberUniqueName="[ID Daty Rozpoczecia].[Dzien Pracujacy].[All]" allUniqueName="[ID Daty Rozpoczecia].[Dzien Pracujacy].[All]" dimensionUniqueName="[ID Daty Rozpoczecia]" displayFolder="" count="0" unbalanced="0"/>
    <cacheHierarchy uniqueName="[ID Daty Rozpoczecia].[Dzien Przedswiateczny]" caption="ID Daty Rozpoczecia.Dzien Przedswiateczny" attribute="1" time="1" defaultMemberUniqueName="[ID Daty Rozpoczecia].[Dzien Przedswiateczny].[All]" allUniqueName="[ID Daty Rozpoczecia].[Dzien Przedswiateczny].[All]" dimensionUniqueName="[ID Daty Rozpoczecia]" displayFolder="" count="0" unbalanced="0"/>
    <cacheHierarchy uniqueName="[ID Daty Rozpoczecia].[Dzien Tygodnia]" caption="ID Daty Rozpoczecia.Dzien Tygodnia" attribute="1" time="1" defaultMemberUniqueName="[ID Daty Rozpoczecia].[Dzien Tygodnia].[All]" allUniqueName="[ID Daty Rozpoczecia].[Dzien Tygodnia].[All]" dimensionUniqueName="[ID Daty Rozpoczecia]" displayFolder="" count="0" unbalanced="0"/>
    <cacheHierarchy uniqueName="[ID Daty Rozpoczecia].[ID Daty]" caption="ID Daty Rozpoczecia.ID Daty" attribute="1" time="1" keyAttribute="1" defaultMemberUniqueName="[ID Daty Rozpoczecia].[ID Daty].[All]" allUniqueName="[ID Daty Rozpoczecia].[ID Daty].[All]" dimensionUniqueName="[ID Daty Rozpoczecia]" displayFolder="" count="0" memberValueDatatype="3" unbalanced="0"/>
    <cacheHierarchy uniqueName="[ID Daty Rozpoczecia].[Rok]" caption="ID Daty Rozpoczecia.Rok" attribute="1" time="1" defaultMemberUniqueName="[ID Daty Rozpoczecia].[Rok].[All]" allUniqueName="[ID Daty Rozpoczecia].[Rok].[All]" dimensionUniqueName="[ID Daty Rozpoczecia]" displayFolder="" count="0" unbalanced="0"/>
    <cacheHierarchy uniqueName="[ID Daty Rozpoczecia].[Swieto]" caption="ID Daty Rozpoczecia.Swieto" attribute="1" time="1" defaultMemberUniqueName="[ID Daty Rozpoczecia].[Swieto].[All]" allUniqueName="[ID Daty Rozpoczecia].[Swieto].[All]" dimensionUniqueName="[ID Daty Rozpoczecia]" displayFolder="" count="0" unbalanced="0"/>
    <cacheHierarchy uniqueName="[ID Daty Zakonczenia].[Czas Wakacyjny]" caption="ID Daty Zakonczenia.Czas Wakacyjny" attribute="1" time="1" defaultMemberUniqueName="[ID Daty Zakonczenia].[Czas Wakacyjny].[All]" allUniqueName="[ID Daty Zakonczenia].[Czas Wakacyjny].[All]" dimensionUniqueName="[ID Daty Zakonczenia]" displayFolder="" count="0" unbalanced="0"/>
    <cacheHierarchy uniqueName="[ID Daty Zakonczenia].[Data]" caption="ID Daty Zakonczenia.Data" attribute="1" time="1" defaultMemberUniqueName="[ID Daty Zakonczenia].[Data].[All]" allUniqueName="[ID Daty Zakonczenia].[Data].[All]" dimensionUniqueName="[ID Daty Zakonczenia]" displayFolder="" count="0" unbalanced="0"/>
    <cacheHierarchy uniqueName="[ID Daty Zakonczenia].[Dzien Pracujacy]" caption="ID Daty Zakonczenia.Dzien Pracujacy" attribute="1" time="1" defaultMemberUniqueName="[ID Daty Zakonczenia].[Dzien Pracujacy].[All]" allUniqueName="[ID Daty Zakonczenia].[Dzien Pracujacy].[All]" dimensionUniqueName="[ID Daty Zakonczenia]" displayFolder="" count="0" unbalanced="0"/>
    <cacheHierarchy uniqueName="[ID Daty Zakonczenia].[Dzien Przedswiateczny]" caption="ID Daty Zakonczenia.Dzien Przedswiateczny" attribute="1" time="1" defaultMemberUniqueName="[ID Daty Zakonczenia].[Dzien Przedswiateczny].[All]" allUniqueName="[ID Daty Zakonczenia].[Dzien Przedswiateczny].[All]" dimensionUniqueName="[ID Daty Zakonczenia]" displayFolder="" count="0" unbalanced="0"/>
    <cacheHierarchy uniqueName="[ID Daty Zakonczenia].[Dzien Tygodnia]" caption="ID Daty Zakonczenia.Dzien Tygodnia" attribute="1" time="1" defaultMemberUniqueName="[ID Daty Zakonczenia].[Dzien Tygodnia].[All]" allUniqueName="[ID Daty Zakonczenia].[Dzien Tygodnia].[All]" dimensionUniqueName="[ID Daty Zakonczenia]" displayFolder="" count="0" unbalanced="0"/>
    <cacheHierarchy uniqueName="[ID Daty Zakonczenia].[ID Daty]" caption="ID Daty Zakonczenia.ID Daty" attribute="1" time="1" keyAttribute="1" defaultMemberUniqueName="[ID Daty Zakonczenia].[ID Daty].[All]" allUniqueName="[ID Daty Zakonczenia].[ID Daty].[All]" dimensionUniqueName="[ID Daty Zakonczenia]" displayFolder="" count="0" memberValueDatatype="3" unbalanced="0"/>
    <cacheHierarchy uniqueName="[ID Daty Zakonczenia].[Rok]" caption="ID Daty Zakonczenia.Rok" attribute="1" time="1" defaultMemberUniqueName="[ID Daty Zakonczenia].[Rok].[All]" allUniqueName="[ID Daty Zakonczenia].[Rok].[All]" dimensionUniqueName="[ID Daty Zakonczenia]" displayFolder="" count="0" unbalanced="0"/>
    <cacheHierarchy uniqueName="[ID Daty Zakonczenia].[Swieto]" caption="ID Daty Zakonczenia.Swieto" attribute="1" time="1" defaultMemberUniqueName="[ID Daty Zakonczenia].[Swieto].[All]" allUniqueName="[ID Daty Zakonczenia].[Swieto].[All]" dimensionUniqueName="[ID Daty Zakonczenia]" displayFolder="" count="0" unbalanced="0"/>
    <cacheHierarchy uniqueName="[Interwencje].[ID Interwencji]" caption="ID Interwencji" attribute="1" keyAttribute="1" defaultMemberUniqueName="[Interwencje].[ID Interwencji].[All]" allUniqueName="[Interwencje].[ID Interwencji].[All]" dimensionUniqueName="[Interwencje]" displayFolder="" count="0" unbalanced="0"/>
    <cacheHierarchy uniqueName="[Miejsce].[Dzielnica]" caption="Dzielnica" attribute="1" defaultMemberUniqueName="[Miejsce].[Dzielnica].[All]" allUniqueName="[Miejsce].[Dzielnica].[All]" dimensionUniqueName="[Miejsce]" displayFolder="" count="0" unbalanced="0"/>
    <cacheHierarchy uniqueName="[Miejsce].[ID Miejsca]" caption="ID Miejsca" attribute="1" keyAttribute="1" defaultMemberUniqueName="[Miejsce].[ID Miejsca].[All]" allUniqueName="[Miejsce].[ID Miejsca].[All]" dimensionUniqueName="[Miejsce]" displayFolder="" count="0" unbalanced="0"/>
    <cacheHierarchy uniqueName="[Notowani].[Data Urodzenia]" caption="Data Urodzenia" attribute="1" defaultMemberUniqueName="[Notowani].[Data Urodzenia].[All]" allUniqueName="[Notowani].[Data Urodzenia].[All]" dimensionUniqueName="[Notowani]" displayFolder="" count="0" unbalanced="0"/>
    <cacheHierarchy uniqueName="[Notowani].[ID Notowanego]" caption="ID Notowanego" attribute="1" keyAttribute="1" defaultMemberUniqueName="[Notowani].[ID Notowanego].[All]" allUniqueName="[Notowani].[ID Notowanego].[All]" dimensionUniqueName="[Notowani]" displayFolder="" count="0" unbalanced="0"/>
    <cacheHierarchy uniqueName="[Notowani].[Imie Nazwisko]" caption="Imie Nazwisko" attribute="1" defaultMemberUniqueName="[Notowani].[Imie Nazwisko].[All]" allUniqueName="[Notowani].[Imie Nazwisko].[All]" dimensionUniqueName="[Notowani]" displayFolder="" count="0" unbalanced="0"/>
    <cacheHierarchy uniqueName="[Notowani].[Pesel]" caption="Pesel" attribute="1" defaultMemberUniqueName="[Notowani].[Pesel].[All]" allUniqueName="[Notowani].[Pesel].[All]" dimensionUniqueName="[Notowani]" displayFolder="" count="0" unbalanced="0"/>
    <cacheHierarchy uniqueName="[Notowani].[Plec]" caption="Plec" attribute="1" defaultMemberUniqueName="[Notowani].[Plec].[All]" allUniqueName="[Notowani].[Plec].[All]" dimensionUniqueName="[Notowani]" displayFolder="" count="0" unbalanced="0"/>
    <cacheHierarchy uniqueName="[Opis Kary].[Czy Przyjeta]" caption="Czy Przyjeta" attribute="1" defaultMemberUniqueName="[Opis Kary].[Czy Przyjeta].[All]" allUniqueName="[Opis Kary].[Czy Przyjeta].[All]" dimensionUniqueName="[Opis Kary]" displayFolder="" count="0" unbalanced="0"/>
    <cacheHierarchy uniqueName="[Opis Kary].[Forma]" caption="Forma" attribute="1" defaultMemberUniqueName="[Opis Kary].[Forma].[All]" allUniqueName="[Opis Kary].[Forma].[All]" dimensionUniqueName="[Opis Kary]" displayFolder="" count="0" unbalanced="0"/>
    <cacheHierarchy uniqueName="[Opis Kary].[ID Opisu Kary]" caption="ID Opisu Kary" attribute="1" keyAttribute="1" defaultMemberUniqueName="[Opis Kary].[ID Opisu Kary].[All]" allUniqueName="[Opis Kary].[ID Opisu Kary].[All]" dimensionUniqueName="[Opis Kary]" displayFolder="" count="0" unbalanced="0"/>
    <cacheHierarchy uniqueName="[Opis Kary].[Nazwa Sadu]" caption="Nazwa Sadu" attribute="1" defaultMemberUniqueName="[Opis Kary].[Nazwa Sadu].[All]" allUniqueName="[Opis Kary].[Nazwa Sadu].[All]" dimensionUniqueName="[Opis Kary]" displayFolder="" count="0" unbalanced="0"/>
    <cacheHierarchy uniqueName="[Opis Kary].[Nr Sprawy]" caption="Nr Sprawy" attribute="1" defaultMemberUniqueName="[Opis Kary].[Nr Sprawy].[All]" allUniqueName="[Opis Kary].[Nr Sprawy].[All]" dimensionUniqueName="[Opis Kary]" displayFolder="" count="0" unbalanced="0"/>
    <cacheHierarchy uniqueName="[Opis Kary].[Podstawa Prawna]" caption="Podstawa Prawna" attribute="1" defaultMemberUniqueName="[Opis Kary].[Podstawa Prawna].[All]" allUniqueName="[Opis Kary].[Podstawa Prawna].[All]" dimensionUniqueName="[Opis Kary]" displayFolder="" count="0" unbalanced="0"/>
    <cacheHierarchy uniqueName="[Opis Kary].[Rodzaj]" caption="Rodzaj" attribute="1" defaultMemberUniqueName="[Opis Kary].[Rodzaj].[All]" allUniqueName="[Opis Kary].[Rodzaj].[All]" dimensionUniqueName="[Opis Kary]" displayFolder="" count="2" unbalanced="0">
      <fieldsUsage count="2">
        <fieldUsage x="-1"/>
        <fieldUsage x="1"/>
      </fieldsUsage>
    </cacheHierarchy>
    <cacheHierarchy uniqueName="[Opis Kary].[Rodzaj Wniosku]" caption="Rodzaj Wniosku" attribute="1" defaultMemberUniqueName="[Opis Kary].[Rodzaj Wniosku].[All]" allUniqueName="[Opis Kary].[Rodzaj Wniosku].[All]" dimensionUniqueName="[Opis Kary]" displayFolder="" count="0" unbalanced="0"/>
    <cacheHierarchy uniqueName="[Opis Kary].[Seria Numer Mandatu]" caption="Seria Numer Mandatu" attribute="1" defaultMemberUniqueName="[Opis Kary].[Seria Numer Mandatu].[All]" allUniqueName="[Opis Kary].[Seria Numer Mandatu].[All]" dimensionUniqueName="[Opis Kary]" displayFolder="" count="0" unbalanced="0"/>
    <cacheHierarchy uniqueName="[Opis Kary].[Sygnatura Akt]" caption="Sygnatura Akt" attribute="1" defaultMemberUniqueName="[Opis Kary].[Sygnatura Akt].[All]" allUniqueName="[Opis Kary].[Sygnatura Akt].[All]" dimensionUniqueName="[Opis Kary]" displayFolder="" count="0" unbalanced="0"/>
    <cacheHierarchy uniqueName="[Opis Patrolu].[ID Opisu Patrolu]" caption="ID Opisu Patrolu" attribute="1" keyAttribute="1" defaultMemberUniqueName="[Opis Patrolu].[ID Opisu Patrolu].[All]" allUniqueName="[Opis Patrolu].[ID Opisu Patrolu].[All]" dimensionUniqueName="[Opis Patrolu]" displayFolder="" count="0" unbalanced="0"/>
    <cacheHierarchy uniqueName="[Opis Patrolu].[Marka Radiowozu]" caption="Marka Radiowozu" attribute="1" defaultMemberUniqueName="[Opis Patrolu].[Marka Radiowozu].[All]" allUniqueName="[Opis Patrolu].[Marka Radiowozu].[All]" dimensionUniqueName="[Opis Patrolu]" displayFolder="" count="0" unbalanced="0"/>
    <cacheHierarchy uniqueName="[Opis Patrolu].[Model Radiowozu]" caption="Model Radiowozu" attribute="1" defaultMemberUniqueName="[Opis Patrolu].[Model Radiowozu].[All]" allUniqueName="[Opis Patrolu].[Model Radiowozu].[All]" dimensionUniqueName="[Opis Patrolu]" displayFolder="" count="0" unbalanced="0"/>
    <cacheHierarchy uniqueName="[Opis Patrolu].[Nr Odznaki Kierowcy]" caption="Nr Odznaki Kierowcy" attribute="1" defaultMemberUniqueName="[Opis Patrolu].[Nr Odznaki Kierowcy].[All]" allUniqueName="[Opis Patrolu].[Nr Odznaki Kierowcy].[All]" dimensionUniqueName="[Opis Patrolu]" displayFolder="" count="0" unbalanced="0"/>
    <cacheHierarchy uniqueName="[Opis Patrolu].[Nr Odznaki Partnera]" caption="Nr Odznaki Partnera" attribute="1" defaultMemberUniqueName="[Opis Patrolu].[Nr Odznaki Partnera].[All]" allUniqueName="[Opis Patrolu].[Nr Odznaki Partnera].[All]" dimensionUniqueName="[Opis Patrolu]" displayFolder="" count="0" unbalanced="0"/>
    <cacheHierarchy uniqueName="[Opis Patrolu].[Nr Rejestracyjny]" caption="Nr Rejestracyjny" attribute="1" defaultMemberUniqueName="[Opis Patrolu].[Nr Rejestracyjny].[All]" allUniqueName="[Opis Patrolu].[Nr Rejestracyjny].[All]" dimensionUniqueName="[Opis Patrolu]" displayFolder="" count="0" unbalanced="0"/>
    <cacheHierarchy uniqueName="[Patrole].[ID Patrolu]" caption="ID Patrolu" attribute="1" keyAttribute="1" defaultMemberUniqueName="[Patrole].[ID Patrolu].[All]" allUniqueName="[Patrole].[ID Patrolu].[All]" dimensionUniqueName="[Patrole]" displayFolder="" count="0" unbalanced="0"/>
    <cacheHierarchy uniqueName="[Smieci].[Czy Interwencje]" caption="Czy Interwencje" attribute="1" defaultMemberUniqueName="[Smieci].[Czy Interwencje].[All]" allUniqueName="[Smieci].[Czy Interwencje].[All]" dimensionUniqueName="[Smieci]" displayFolder="" count="0" unbalanced="0"/>
    <cacheHierarchy uniqueName="[Smieci].[ID Smieci]" caption="ID Smieci" attribute="1" keyAttribute="1" defaultMemberUniqueName="[Smieci].[ID Smieci].[All]" allUniqueName="[Smieci].[ID Smieci].[All]" dimensionUniqueName="[Smieci]" displayFolder="" count="0" unbalanced="0"/>
    <cacheHierarchy uniqueName="[Zdarzenia].[ID Zdarzenia]" caption="ID Zdarzenia" attribute="1" keyAttribute="1" defaultMemberUniqueName="[Zdarzenia].[ID Zdarzenia].[All]" allUniqueName="[Zdarzenia].[ID Zdarzenia].[All]" dimensionUniqueName="[Zdarzenia]" displayFolder="" count="0" unbalanced="0"/>
    <cacheHierarchy uniqueName="[Zdarzenia].[Kategoria]" caption="Kategoria" attribute="1" defaultMemberUniqueName="[Zdarzenia].[Kategoria].[All]" allUniqueName="[Zdarzenia].[Kategoria].[All]" dimensionUniqueName="[Zdarzenia]" displayFolder="" count="2" unbalanced="0"/>
    <cacheHierarchy uniqueName="[Zdarzenia].[Rodzaj]" caption="Rodzaj" attribute="1" defaultMemberUniqueName="[Zdarzenia].[Rodzaj].[All]" allUniqueName="[Zdarzenia].[Rodzaj].[All]" dimensionUniqueName="[Zdarzenia]" displayFolder="" count="2" unbalanced="0">
      <fieldsUsage count="2">
        <fieldUsage x="-1"/>
        <fieldUsage x="0"/>
      </fieldsUsage>
    </cacheHierarchy>
    <cacheHierarchy uniqueName="[Zdarzenia].[Warunki Pogodowe]" caption="Warunki Pogodowe" attribute="1" defaultMemberUniqueName="[Zdarzenia].[Warunki Pogodowe].[All]" allUniqueName="[Zdarzenia].[Warunki Pogodowe].[All]" dimensionUniqueName="[Zdarzenia]" displayFolder="" count="0" unbalanced="0"/>
    <cacheHierarchy uniqueName="[Interwencje].[ID Czasu]" caption="ID Czasu" attribute="1" defaultMemberUniqueName="[Interwencje].[ID Czasu].[All]" allUniqueName="[Interwencje].[ID Czasu].[All]" dimensionUniqueName="[Interwencje]" displayFolder="" count="0" unbalanced="0" hidden="1"/>
    <cacheHierarchy uniqueName="[Interwencje].[ID Daty]" caption="ID Daty" attribute="1" defaultMemberUniqueName="[Interwencje].[ID Daty].[All]" allUniqueName="[Interwencje].[ID Daty].[All]" dimensionUniqueName="[Interwencje]" displayFolder="" count="0" unbalanced="0" hidden="1"/>
    <cacheHierarchy uniqueName="[Interwencje].[ID Miejsca]" caption="ID Miejsca" attribute="1" defaultMemberUniqueName="[Interwencje].[ID Miejsca].[All]" allUniqueName="[Interwencje].[ID Miejsca].[All]" dimensionUniqueName="[Interwencje]" displayFolder="" count="0" unbalanced="0" hidden="1"/>
    <cacheHierarchy uniqueName="[Interwencje].[ID Patrolu]" caption="ID Patrolu" attribute="1" defaultMemberUniqueName="[Interwencje].[ID Patrolu].[All]" allUniqueName="[Interwencje].[ID Patrolu].[All]" dimensionUniqueName="[Interwencje]" displayFolder="" count="0" unbalanced="0" hidden="1"/>
    <cacheHierarchy uniqueName="[Interwencje].[ID Zdarzenia]" caption="ID Zdarzenia" attribute="1" defaultMemberUniqueName="[Interwencje].[ID Zdarzenia].[All]" allUniqueName="[Interwencje].[ID Zdarzenia].[All]" dimensionUniqueName="[Interwencje]" displayFolder="" count="0" unbalanced="0" hidden="1"/>
    <cacheHierarchy uniqueName="[Patrole].[ID Czasu Rozpoczecia]" caption="ID Czasu Rozpoczecia" attribute="1" defaultMemberUniqueName="[Patrole].[ID Czasu Rozpoczecia].[All]" allUniqueName="[Patrole].[ID Czasu Rozpoczecia].[All]" dimensionUniqueName="[Patrole]" displayFolder="" count="0" unbalanced="0" hidden="1"/>
    <cacheHierarchy uniqueName="[Patrole].[ID Czasu Zakonczenia]" caption="ID Czasu Zakonczenia" attribute="1" defaultMemberUniqueName="[Patrole].[ID Czasu Zakonczenia].[All]" allUniqueName="[Patrole].[ID Czasu Zakonczenia].[All]" dimensionUniqueName="[Patrole]" displayFolder="" count="0" unbalanced="0" hidden="1"/>
    <cacheHierarchy uniqueName="[Patrole].[ID Daty Rozpoczecia]" caption="ID Daty Rozpoczecia" attribute="1" defaultMemberUniqueName="[Patrole].[ID Daty Rozpoczecia].[All]" allUniqueName="[Patrole].[ID Daty Rozpoczecia].[All]" dimensionUniqueName="[Patrole]" displayFolder="" count="0" unbalanced="0" hidden="1"/>
    <cacheHierarchy uniqueName="[Patrole].[ID Daty Zakonczenia]" caption="ID Daty Zakonczenia" attribute="1" defaultMemberUniqueName="[Patrole].[ID Daty Zakonczenia].[All]" allUniqueName="[Patrole].[ID Daty Zakonczenia].[All]" dimensionUniqueName="[Patrole]" displayFolder="" count="0" unbalanced="0" hidden="1"/>
    <cacheHierarchy uniqueName="[Patrole].[ID Opisu Patrolu]" caption="ID Opisu Patrolu" attribute="1" defaultMemberUniqueName="[Patrole].[ID Opisu Patrolu].[All]" allUniqueName="[Patrole].[ID Opisu Patrolu].[All]" dimensionUniqueName="[Patrole]" displayFolder="" count="0" unbalanced="0" hidden="1"/>
    <cacheHierarchy uniqueName="[Patrole].[ID Smieci]" caption="ID Smieci" attribute="1" defaultMemberUniqueName="[Patrole].[ID Smieci].[All]" allUniqueName="[Patrole].[ID Smieci].[All]" dimensionUniqueName="[Patrole]" displayFolder="" count="0" unbalanced="0" hidden="1"/>
    <cacheHierarchy uniqueName="[Measures].[Liczba Rannych]" caption="Liczba Rannych" measure="1" displayFolder="" measureGroup="Interwencje Fakty" count="0"/>
    <cacheHierarchy uniqueName="[Measures].[Liczba Ofiar]" caption="Liczba Ofiar" measure="1" displayFolder="" measureGroup="Interwencje Fakty" count="0"/>
    <cacheHierarchy uniqueName="[Measures].[Liczba Sprawcow]" caption="Liczba Sprawcow" measure="1" displayFolder="" measureGroup="Interwencje Fakty" count="0"/>
    <cacheHierarchy uniqueName="[Measures].[Liczba Kar]" caption="Liczba Kar" measure="1" displayFolder="" measureGroup="Interwencje Fakty" count="0"/>
    <cacheHierarchy uniqueName="[Measures].[Suma Kwot Kar]" caption="Suma Kwot Kar" measure="1" displayFolder="" measureGroup="Interwencje Fakty" count="0"/>
    <cacheHierarchy uniqueName="[Measures].[Suma Punktow Karnych]" caption="Suma Punktow Karnych" measure="1" displayFolder="" measureGroup="Interwencje Fakty" count="0"/>
    <cacheHierarchy uniqueName="[Measures].[Interwencje Fakty Count]" caption="Interwencje Fakty Count" measure="1" displayFolder="" measureGroup="Interwencje Fakty" count="0"/>
    <cacheHierarchy uniqueName="[Measures].[Kwota Mandatu]" caption="Kwota Mandatu" measure="1" displayFolder="" measureGroup="Kary Fakty" count="0"/>
    <cacheHierarchy uniqueName="[Measures].[Punkty Karne]" caption="Punkty Karne" measure="1" displayFolder="" measureGroup="Kary Fakty" count="0"/>
    <cacheHierarchy uniqueName="[Measures].[Kary Fakty Count]" caption="Kary Fakty Count" measure="1" displayFolder="" measureGroup="Kary Fakty" count="0" oneField="1">
      <fieldsUsage count="1">
        <fieldUsage x="2"/>
      </fieldsUsage>
    </cacheHierarchy>
    <cacheHierarchy uniqueName="[Measures].[Czas Trwania Min]" caption="Czas Trwania Min" measure="1" displayFolder="" measureGroup="Patrole Fakty" count="0"/>
    <cacheHierarchy uniqueName="[Measures].[Liczba Interwencji]" caption="Liczba Interwencji" measure="1" displayFolder="" measureGroup="Patrole Fakty" count="0"/>
    <cacheHierarchy uniqueName="[Measures].[Patrole Fakty Count]" caption="Patrole Fakty Count" measure="1" displayFolder="" measureGroup="Patrole Fakty" count="0"/>
    <cacheHierarchy uniqueName="[Measures].[Srednia_kwota_mandatu]" caption="Srednia_kwota_mandatu" measure="1" displayFolder="" count="0"/>
    <cacheHierarchy uniqueName="[Measures].[Srednia_liczba_interwencji_na_patrol]" caption="Srednia_liczba_interwencji_na_patrol" measure="1" displayFolder="" count="0"/>
    <cacheHierarchy uniqueName="[Measures].[Sredni_czas_trwania_patrolu]" caption="Sredni_czas_trwania_patrolu" measure="1" displayFolder="" count="0"/>
    <cacheHierarchy uniqueName="[Measures].[Srednie_punkty_karne]" caption="Srednie_punkty_karne" measure="1" displayFolder="" count="0"/>
  </cacheHierarchies>
  <kpis count="0"/>
  <dimensions count="15">
    <dimension name="Czas" uniqueName="[Czas]" caption="Czas"/>
    <dimension name="Data" uniqueName="[Data]" caption="Data"/>
    <dimension name="ID Czasu Rozpoczecia" uniqueName="[ID Czasu Rozpoczecia]" caption="ID Czasu Rozpoczecia"/>
    <dimension name="ID Czasu Zakonczenia" uniqueName="[ID Czasu Zakonczenia]" caption="ID Czasu Zakonczenia"/>
    <dimension name="ID Daty Rozpoczecia" uniqueName="[ID Daty Rozpoczecia]" caption="ID Daty Rozpoczecia"/>
    <dimension name="ID Daty Zakonczenia" uniqueName="[ID Daty Zakonczenia]" caption="ID Daty Zakonczenia"/>
    <dimension name="Interwencje" uniqueName="[Interwencje]" caption="Interwencje"/>
    <dimension measure="1" name="Measures" uniqueName="[Measures]" caption="Measures"/>
    <dimension name="Miejsce" uniqueName="[Miejsce]" caption="Miejsce"/>
    <dimension name="Notowani" uniqueName="[Notowani]" caption="Notowani"/>
    <dimension name="Opis Kary" uniqueName="[Opis Kary]" caption="Opis Kary"/>
    <dimension name="Opis Patrolu" uniqueName="[Opis Patrolu]" caption="Opis Patrolu"/>
    <dimension name="Patrole" uniqueName="[Patrole]" caption="Patrole"/>
    <dimension name="Smieci" uniqueName="[Smieci]" caption="Smieci"/>
    <dimension name="Zdarzenia" uniqueName="[Zdarzenia]" caption="Zdarzenia"/>
  </dimensions>
  <measureGroups count="3">
    <measureGroup name="Interwencje Fakty" caption="Interwencje Fakty"/>
    <measureGroup name="Kary Fakty" caption="Kary Fakty"/>
    <measureGroup name="Patrole Fakty" caption="Patrole Fakty"/>
  </measureGroups>
  <maps count="4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D3E3E-68AB-4622-A0AC-B104F0BFA644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8" firstHeaderRow="0" firstDataRow="1" firstDataCol="1" rowPageCount="1" colPageCount="1"/>
  <pivotFields count="14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2">
        <item x="0"/>
        <item x="1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3">
    <field x="0"/>
    <field x="1"/>
    <field x="2"/>
  </rowFields>
  <rowItems count="5">
    <i>
      <x/>
    </i>
    <i r="1">
      <x/>
    </i>
    <i r="2">
      <x/>
    </i>
    <i r="2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3" hier="67" name="[Zdarzenia].[Kategoria].&amp;[Drogowe]" cap="Drogowe"/>
  </pageFields>
  <dataFields count="2">
    <dataField fld="11" baseField="0" baseItem="0"/>
    <dataField fld="1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>
      <mps count="8">
        <mp field="3"/>
        <mp field="4"/>
        <mp field="5"/>
        <mp field="6"/>
        <mp field="7"/>
        <mp field="8"/>
        <mp field="9"/>
        <mp field="1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32226-9635-40EA-9539-43EEE1F3FF81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14" firstHeaderRow="1" firstDataRow="3" firstDataCol="1" rowPageCount="1" colPageCount="1"/>
  <pivotFields count="5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"/>
    <field x="-2"/>
  </colFields>
  <colItems count="4">
    <i>
      <x/>
      <x/>
    </i>
    <i r="1" i="1">
      <x v="1"/>
    </i>
    <i t="grand">
      <x/>
    </i>
    <i t="grand" i="1">
      <x/>
    </i>
  </colItems>
  <pageFields count="1">
    <pageField fld="4" hier="67" name="[Zdarzenia].[Kategoria].&amp;[Drogowe]" cap="Drogowe"/>
  </pageFields>
  <dataFields count="2">
    <dataField fld="2" baseField="0" baseItem="0"/>
    <dataField fld="3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2">
    <colHierarchyUsage hierarchyUsage="1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FCC42-CCC3-40EF-8003-5B5989AFDE16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/>
  <pivotFields count="12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2">
        <item x="0"/>
        <item x="1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3">
    <field x="0"/>
    <field x="1"/>
    <field x="2"/>
  </rowFields>
  <rowItems count="5">
    <i>
      <x/>
    </i>
    <i r="1">
      <x/>
    </i>
    <i r="2">
      <x/>
    </i>
    <i r="2">
      <x v="1"/>
    </i>
    <i t="grand">
      <x/>
    </i>
  </rowItems>
  <colItems count="1">
    <i/>
  </colItems>
  <dataFields count="1">
    <dataField fld="11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>
      <mps count="8">
        <mp field="3"/>
        <mp field="4"/>
        <mp field="5"/>
        <mp field="6"/>
        <mp field="7"/>
        <mp field="8"/>
        <mp field="9"/>
        <mp field="1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2DDD7-079C-41E7-9ABF-C4147B704E60}" name="PivotTable1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F7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3" hier="67" name="[Zdarzenia].[Kategoria].&amp;[Drogowe]" cap="Drogowe"/>
  </pageFields>
  <dataFields count="1"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DCE46-B2F0-42EB-A8D4-22F4DE77DDE8}" name="PivotTable1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5" firstHeaderRow="1" firstDataRow="1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subtotalTop="0" showAll="0" dataSourceSort="1" defaultSubtotal="0" showPropTip="1"/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ADA65-3912-4D0F-9C86-C9183E100244}" name="PivotTable1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13" firstHeaderRow="1" firstDataRow="2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6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BD090-AB56-4CAA-BB5C-AFF407F549F5}" name="PivotTable1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H13" firstHeaderRow="1" firstDataRow="2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40413-BE6E-446D-A441-F108F5ECC012}" name="PivotTable1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colHierarchiesUsage count="1">
    <colHierarchyUsage hierarchyUsage="5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49628-A863-4C37-9644-08C0432F3EA9}" name="PivotTable1" cacheId="13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53" name="[Opis Kary].[Rodzaj].&amp;[Pouczenie]" cap="Pouczenie"/>
  </pageFields>
  <dataFields count="1">
    <dataField fld="1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F69ED-3AB3-46E3-9C1E-C496BC6D545B}" name="PivotTable1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22" firstHeaderRow="1" firstDataRow="2" firstDataCol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0"/>
  </rowHierarchiesUsage>
  <colHierarchiesUsage count="1">
    <colHierarchyUsage hierarchyUsage="5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3EE3E-E1D7-489A-9CEB-BBF761B3A934}" name="PivotTable1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13" firstHeaderRow="1" firstDataRow="2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5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B8A57-3976-4150-9720-AA337125DE44}" name="PivotTable1" cacheId="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10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53" name="[Opis Kary].[Rodzaj].&amp;[Wniosek do sadu]" cap="Wniosek do sadu"/>
  </pageFields>
  <dataFields count="2">
    <dataField fld="1" baseField="0" baseItem="0"/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03D99-DA35-4F29-A6B7-8779B04C0F91}" name="PivotTable1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baseField="0" baseItem="0"/>
  </dataFields>
  <pivotHierarchies count="9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colHierarchiesUsage count="1">
    <colHierarchyUsage hierarchyUsage="5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1C61-CCBB-4ABC-BD67-DF7C09403176}">
  <dimension ref="A1:C8"/>
  <sheetViews>
    <sheetView workbookViewId="0">
      <selection activeCell="F8" sqref="F8"/>
    </sheetView>
  </sheetViews>
  <sheetFormatPr defaultRowHeight="14.25"/>
  <cols>
    <col min="1" max="1" width="16.25" bestFit="1" customWidth="1"/>
    <col min="2" max="2" width="22.625" bestFit="1" customWidth="1"/>
    <col min="3" max="3" width="18.5" bestFit="1" customWidth="1"/>
  </cols>
  <sheetData>
    <row r="1" spans="1:3">
      <c r="A1" s="1" t="s">
        <v>5</v>
      </c>
      <c r="B1" t="s" vm="1">
        <v>6</v>
      </c>
    </row>
    <row r="3" spans="1:3">
      <c r="A3" s="1" t="s">
        <v>0</v>
      </c>
      <c r="B3" t="s">
        <v>3</v>
      </c>
      <c r="C3" t="s">
        <v>4</v>
      </c>
    </row>
    <row r="4" spans="1:3">
      <c r="A4" s="2" t="s">
        <v>1</v>
      </c>
      <c r="B4" s="3"/>
      <c r="C4" s="3"/>
    </row>
    <row r="5" spans="1:3">
      <c r="A5" s="4" t="s">
        <v>7</v>
      </c>
      <c r="B5" s="3"/>
      <c r="C5" s="3"/>
    </row>
    <row r="6" spans="1:3">
      <c r="A6" s="5" t="s">
        <v>8</v>
      </c>
      <c r="B6" s="3">
        <v>67</v>
      </c>
      <c r="C6" s="3">
        <v>10</v>
      </c>
    </row>
    <row r="7" spans="1:3">
      <c r="A7" s="5" t="s">
        <v>9</v>
      </c>
      <c r="B7" s="3">
        <v>51</v>
      </c>
      <c r="C7" s="3">
        <v>7</v>
      </c>
    </row>
    <row r="8" spans="1:3">
      <c r="A8" s="2" t="s">
        <v>2</v>
      </c>
      <c r="B8" s="3">
        <v>118</v>
      </c>
      <c r="C8" s="3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6F3F-2D11-4768-891B-936910084CB6}">
  <dimension ref="A1:E14"/>
  <sheetViews>
    <sheetView workbookViewId="0">
      <selection activeCell="A3" sqref="A3"/>
    </sheetView>
  </sheetViews>
  <sheetFormatPr defaultRowHeight="14.25"/>
  <cols>
    <col min="1" max="1" width="13.125" bestFit="1" customWidth="1"/>
    <col min="2" max="2" width="22.625" bestFit="1" customWidth="1"/>
    <col min="3" max="3" width="18.5" bestFit="1" customWidth="1"/>
    <col min="4" max="4" width="27.75" bestFit="1" customWidth="1"/>
    <col min="5" max="5" width="23.625" bestFit="1" customWidth="1"/>
  </cols>
  <sheetData>
    <row r="1" spans="1:5">
      <c r="A1" s="1" t="s">
        <v>5</v>
      </c>
      <c r="B1" t="s" vm="1">
        <v>6</v>
      </c>
    </row>
    <row r="3" spans="1:5">
      <c r="B3" s="1" t="s">
        <v>18</v>
      </c>
    </row>
    <row r="4" spans="1:5">
      <c r="B4" t="s">
        <v>1</v>
      </c>
      <c r="D4" t="s">
        <v>19</v>
      </c>
      <c r="E4" t="s">
        <v>20</v>
      </c>
    </row>
    <row r="5" spans="1:5">
      <c r="A5" s="1" t="s">
        <v>0</v>
      </c>
      <c r="B5" t="s">
        <v>3</v>
      </c>
      <c r="C5" t="s">
        <v>4</v>
      </c>
    </row>
    <row r="6" spans="1:5">
      <c r="A6" s="2" t="s">
        <v>10</v>
      </c>
      <c r="B6" s="3">
        <v>9</v>
      </c>
      <c r="C6" s="3">
        <v>1</v>
      </c>
      <c r="D6" s="3">
        <v>9</v>
      </c>
      <c r="E6" s="3">
        <v>1</v>
      </c>
    </row>
    <row r="7" spans="1:5">
      <c r="A7" s="2" t="s">
        <v>11</v>
      </c>
      <c r="B7" s="3">
        <v>19</v>
      </c>
      <c r="C7" s="3">
        <v>3</v>
      </c>
      <c r="D7" s="3">
        <v>19</v>
      </c>
      <c r="E7" s="3">
        <v>3</v>
      </c>
    </row>
    <row r="8" spans="1:5">
      <c r="A8" s="2" t="s">
        <v>12</v>
      </c>
      <c r="B8" s="3">
        <v>4</v>
      </c>
      <c r="C8" s="3">
        <v>2</v>
      </c>
      <c r="D8" s="3">
        <v>4</v>
      </c>
      <c r="E8" s="3">
        <v>2</v>
      </c>
    </row>
    <row r="9" spans="1:5">
      <c r="A9" s="2" t="s">
        <v>13</v>
      </c>
      <c r="B9" s="3">
        <v>13</v>
      </c>
      <c r="C9" s="3">
        <v>2</v>
      </c>
      <c r="D9" s="3">
        <v>13</v>
      </c>
      <c r="E9" s="3">
        <v>2</v>
      </c>
    </row>
    <row r="10" spans="1:5">
      <c r="A10" s="2" t="s">
        <v>14</v>
      </c>
      <c r="B10" s="3">
        <v>13</v>
      </c>
      <c r="C10" s="3">
        <v>1</v>
      </c>
      <c r="D10" s="3">
        <v>13</v>
      </c>
      <c r="E10" s="3">
        <v>1</v>
      </c>
    </row>
    <row r="11" spans="1:5">
      <c r="A11" s="2" t="s">
        <v>15</v>
      </c>
      <c r="B11" s="3">
        <v>24</v>
      </c>
      <c r="C11" s="3">
        <v>3</v>
      </c>
      <c r="D11" s="3">
        <v>24</v>
      </c>
      <c r="E11" s="3">
        <v>3</v>
      </c>
    </row>
    <row r="12" spans="1:5">
      <c r="A12" s="2" t="s">
        <v>16</v>
      </c>
      <c r="B12" s="3">
        <v>14</v>
      </c>
      <c r="C12" s="3">
        <v>2</v>
      </c>
      <c r="D12" s="3">
        <v>14</v>
      </c>
      <c r="E12" s="3">
        <v>2</v>
      </c>
    </row>
    <row r="13" spans="1:5">
      <c r="A13" s="2" t="s">
        <v>17</v>
      </c>
      <c r="B13" s="3">
        <v>22</v>
      </c>
      <c r="C13" s="3">
        <v>3</v>
      </c>
      <c r="D13" s="3">
        <v>22</v>
      </c>
      <c r="E13" s="3">
        <v>3</v>
      </c>
    </row>
    <row r="14" spans="1:5">
      <c r="A14" s="2" t="s">
        <v>2</v>
      </c>
      <c r="B14" s="3">
        <v>118</v>
      </c>
      <c r="C14" s="3">
        <v>17</v>
      </c>
      <c r="D14" s="3">
        <v>118</v>
      </c>
      <c r="E14" s="3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6ED8-66C7-4DE9-9F1B-B264681A869F}">
  <dimension ref="A3:B8"/>
  <sheetViews>
    <sheetView workbookViewId="0">
      <selection activeCell="C11" sqref="C11"/>
    </sheetView>
  </sheetViews>
  <sheetFormatPr defaultRowHeight="14.25"/>
  <cols>
    <col min="1" max="1" width="16.25" bestFit="1" customWidth="1"/>
    <col min="2" max="2" width="34.625" bestFit="1" customWidth="1"/>
    <col min="3" max="3" width="18.5" bestFit="1" customWidth="1"/>
  </cols>
  <sheetData>
    <row r="3" spans="1:2">
      <c r="A3" s="1" t="s">
        <v>0</v>
      </c>
      <c r="B3" t="s">
        <v>21</v>
      </c>
    </row>
    <row r="4" spans="1:2">
      <c r="A4" s="2" t="s">
        <v>1</v>
      </c>
      <c r="B4" s="3"/>
    </row>
    <row r="5" spans="1:2">
      <c r="A5" s="4" t="s">
        <v>7</v>
      </c>
      <c r="B5" s="3"/>
    </row>
    <row r="6" spans="1:2">
      <c r="A6" s="5" t="s">
        <v>8</v>
      </c>
      <c r="B6" s="3">
        <v>9.4</v>
      </c>
    </row>
    <row r="7" spans="1:2">
      <c r="A7" s="5" t="s">
        <v>9</v>
      </c>
      <c r="B7" s="3">
        <v>9.7142857142857135</v>
      </c>
    </row>
    <row r="8" spans="1:2">
      <c r="A8" s="2" t="s">
        <v>2</v>
      </c>
      <c r="B8" s="3">
        <v>8.526315789473685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A31D-E052-43A8-B618-EAD312CF832C}">
  <dimension ref="A1:F7"/>
  <sheetViews>
    <sheetView workbookViewId="0">
      <selection activeCell="C13" sqref="C13"/>
    </sheetView>
  </sheetViews>
  <sheetFormatPr defaultRowHeight="14.25"/>
  <cols>
    <col min="1" max="1" width="22.625" bestFit="1" customWidth="1"/>
    <col min="2" max="2" width="16.125" bestFit="1" customWidth="1"/>
    <col min="3" max="3" width="11.375" bestFit="1" customWidth="1"/>
    <col min="4" max="4" width="4.875" bestFit="1" customWidth="1"/>
    <col min="5" max="5" width="10.375" bestFit="1" customWidth="1"/>
    <col min="6" max="6" width="11.375" bestFit="1" customWidth="1"/>
  </cols>
  <sheetData>
    <row r="1" spans="1:6">
      <c r="A1" s="1" t="s">
        <v>5</v>
      </c>
      <c r="B1" t="s" vm="1">
        <v>6</v>
      </c>
    </row>
    <row r="3" spans="1:6">
      <c r="A3" s="1" t="s">
        <v>3</v>
      </c>
      <c r="B3" s="1" t="s">
        <v>18</v>
      </c>
    </row>
    <row r="4" spans="1:6">
      <c r="A4" s="1" t="s">
        <v>0</v>
      </c>
      <c r="B4" t="s">
        <v>24</v>
      </c>
      <c r="C4" t="s">
        <v>25</v>
      </c>
      <c r="D4" t="s">
        <v>26</v>
      </c>
      <c r="E4" t="s">
        <v>27</v>
      </c>
      <c r="F4" t="s">
        <v>2</v>
      </c>
    </row>
    <row r="5" spans="1:6">
      <c r="A5" s="2" t="s">
        <v>22</v>
      </c>
      <c r="B5" s="3">
        <v>6</v>
      </c>
      <c r="C5" s="3">
        <v>23</v>
      </c>
      <c r="D5" s="3"/>
      <c r="E5" s="3">
        <v>22</v>
      </c>
      <c r="F5" s="3">
        <v>51</v>
      </c>
    </row>
    <row r="6" spans="1:6">
      <c r="A6" s="2" t="s">
        <v>23</v>
      </c>
      <c r="B6" s="3">
        <v>17</v>
      </c>
      <c r="C6" s="3">
        <v>22</v>
      </c>
      <c r="D6" s="3">
        <v>13</v>
      </c>
      <c r="E6" s="3">
        <v>15</v>
      </c>
      <c r="F6" s="3">
        <v>67</v>
      </c>
    </row>
    <row r="7" spans="1:6">
      <c r="A7" s="2" t="s">
        <v>2</v>
      </c>
      <c r="B7" s="3">
        <v>23</v>
      </c>
      <c r="C7" s="3">
        <v>45</v>
      </c>
      <c r="D7" s="3">
        <v>13</v>
      </c>
      <c r="E7" s="3">
        <v>37</v>
      </c>
      <c r="F7" s="3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E888-E4B8-49BA-A670-DF3F6BDF54FD}">
  <dimension ref="A3:B5"/>
  <sheetViews>
    <sheetView workbookViewId="0">
      <selection activeCell="F15" sqref="F15"/>
    </sheetView>
  </sheetViews>
  <sheetFormatPr defaultRowHeight="14.25"/>
  <cols>
    <col min="1" max="1" width="13.125" bestFit="1" customWidth="1"/>
    <col min="2" max="3" width="18.5" bestFit="1" customWidth="1"/>
  </cols>
  <sheetData>
    <row r="3" spans="1:2">
      <c r="A3" s="1" t="s">
        <v>0</v>
      </c>
      <c r="B3" t="s">
        <v>4</v>
      </c>
    </row>
    <row r="4" spans="1:2">
      <c r="A4" s="2" t="s">
        <v>7</v>
      </c>
      <c r="B4" s="3">
        <v>17</v>
      </c>
    </row>
    <row r="5" spans="1:2">
      <c r="A5" s="2" t="s">
        <v>2</v>
      </c>
      <c r="B5" s="3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BCAB-B2A9-4574-8588-74A65FE337D3}">
  <dimension ref="A3:E13"/>
  <sheetViews>
    <sheetView workbookViewId="0">
      <selection activeCell="J12" sqref="J12"/>
    </sheetView>
  </sheetViews>
  <sheetFormatPr defaultRowHeight="14.25"/>
  <cols>
    <col min="1" max="1" width="22.625" bestFit="1" customWidth="1"/>
    <col min="2" max="2" width="16.125" bestFit="1" customWidth="1"/>
    <col min="3" max="3" width="6.875" bestFit="1" customWidth="1"/>
    <col min="4" max="4" width="8.75" bestFit="1" customWidth="1"/>
    <col min="5" max="5" width="11.375" bestFit="1" customWidth="1"/>
  </cols>
  <sheetData>
    <row r="3" spans="1:5">
      <c r="A3" s="1" t="s">
        <v>3</v>
      </c>
      <c r="B3" s="1" t="s">
        <v>18</v>
      </c>
    </row>
    <row r="4" spans="1:5">
      <c r="A4" s="1" t="s">
        <v>0</v>
      </c>
      <c r="B4" t="s">
        <v>28</v>
      </c>
      <c r="C4" t="s">
        <v>29</v>
      </c>
      <c r="D4" t="s">
        <v>30</v>
      </c>
      <c r="E4" t="s">
        <v>2</v>
      </c>
    </row>
    <row r="5" spans="1:5">
      <c r="A5" s="2" t="s">
        <v>10</v>
      </c>
      <c r="B5" s="3">
        <v>4</v>
      </c>
      <c r="C5" s="3">
        <v>8</v>
      </c>
      <c r="D5" s="3">
        <v>1</v>
      </c>
      <c r="E5" s="3">
        <v>13</v>
      </c>
    </row>
    <row r="6" spans="1:5">
      <c r="A6" s="2" t="s">
        <v>11</v>
      </c>
      <c r="B6" s="3">
        <v>10</v>
      </c>
      <c r="C6" s="3">
        <v>13</v>
      </c>
      <c r="D6" s="3">
        <v>6</v>
      </c>
      <c r="E6" s="3">
        <v>29</v>
      </c>
    </row>
    <row r="7" spans="1:5">
      <c r="A7" s="2" t="s">
        <v>12</v>
      </c>
      <c r="B7" s="3"/>
      <c r="C7" s="3">
        <v>4</v>
      </c>
      <c r="D7" s="3"/>
      <c r="E7" s="3">
        <v>4</v>
      </c>
    </row>
    <row r="8" spans="1:5">
      <c r="A8" s="2" t="s">
        <v>13</v>
      </c>
      <c r="B8" s="3">
        <v>8</v>
      </c>
      <c r="C8" s="3">
        <v>10</v>
      </c>
      <c r="D8" s="3">
        <v>3</v>
      </c>
      <c r="E8" s="3">
        <v>21</v>
      </c>
    </row>
    <row r="9" spans="1:5">
      <c r="A9" s="2" t="s">
        <v>14</v>
      </c>
      <c r="B9" s="3"/>
      <c r="C9" s="3">
        <v>11</v>
      </c>
      <c r="D9" s="3">
        <v>2</v>
      </c>
      <c r="E9" s="3">
        <v>13</v>
      </c>
    </row>
    <row r="10" spans="1:5">
      <c r="A10" s="2" t="s">
        <v>15</v>
      </c>
      <c r="B10" s="3">
        <v>9</v>
      </c>
      <c r="C10" s="3">
        <v>18</v>
      </c>
      <c r="D10" s="3">
        <v>6</v>
      </c>
      <c r="E10" s="3">
        <v>33</v>
      </c>
    </row>
    <row r="11" spans="1:5">
      <c r="A11" s="2" t="s">
        <v>16</v>
      </c>
      <c r="B11" s="3">
        <v>6</v>
      </c>
      <c r="C11" s="3">
        <v>11</v>
      </c>
      <c r="D11" s="3">
        <v>3</v>
      </c>
      <c r="E11" s="3">
        <v>20</v>
      </c>
    </row>
    <row r="12" spans="1:5">
      <c r="A12" s="2" t="s">
        <v>17</v>
      </c>
      <c r="B12" s="3">
        <v>7</v>
      </c>
      <c r="C12" s="3">
        <v>17</v>
      </c>
      <c r="D12" s="3">
        <v>5</v>
      </c>
      <c r="E12" s="3">
        <v>29</v>
      </c>
    </row>
    <row r="13" spans="1:5">
      <c r="A13" s="2" t="s">
        <v>2</v>
      </c>
      <c r="B13" s="3">
        <v>44</v>
      </c>
      <c r="C13" s="3">
        <v>92</v>
      </c>
      <c r="D13" s="3">
        <v>26</v>
      </c>
      <c r="E13" s="3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F637-9104-417B-ADE8-3ED61DDA15A7}">
  <dimension ref="A3:H13"/>
  <sheetViews>
    <sheetView workbookViewId="0">
      <selection activeCell="I18" sqref="I18"/>
    </sheetView>
  </sheetViews>
  <sheetFormatPr defaultRowHeight="14.25"/>
  <cols>
    <col min="1" max="1" width="22.625" bestFit="1" customWidth="1"/>
    <col min="2" max="2" width="16.125" bestFit="1" customWidth="1"/>
    <col min="3" max="7" width="15.5" bestFit="1" customWidth="1"/>
    <col min="8" max="8" width="11.375" bestFit="1" customWidth="1"/>
    <col min="9" max="19" width="15.5" bestFit="1" customWidth="1"/>
    <col min="20" max="20" width="11.375" bestFit="1" customWidth="1"/>
  </cols>
  <sheetData>
    <row r="3" spans="1:8">
      <c r="A3" s="1" t="s">
        <v>3</v>
      </c>
      <c r="B3" s="1" t="s">
        <v>18</v>
      </c>
    </row>
    <row r="4" spans="1:8">
      <c r="A4" s="1" t="s">
        <v>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</v>
      </c>
    </row>
    <row r="5" spans="1:8">
      <c r="A5" s="2" t="s">
        <v>10</v>
      </c>
      <c r="B5" s="3"/>
      <c r="C5" s="3"/>
      <c r="D5" s="3">
        <v>4</v>
      </c>
      <c r="E5" s="3">
        <v>2</v>
      </c>
      <c r="F5" s="3"/>
      <c r="G5" s="3"/>
      <c r="H5" s="3">
        <v>6</v>
      </c>
    </row>
    <row r="6" spans="1:8">
      <c r="A6" s="2" t="s">
        <v>11</v>
      </c>
      <c r="B6" s="3">
        <v>4</v>
      </c>
      <c r="C6" s="3">
        <v>2</v>
      </c>
      <c r="D6" s="3">
        <v>1</v>
      </c>
      <c r="E6" s="3"/>
      <c r="F6" s="3">
        <v>3</v>
      </c>
      <c r="G6" s="3">
        <v>1</v>
      </c>
      <c r="H6" s="3">
        <v>11</v>
      </c>
    </row>
    <row r="7" spans="1:8">
      <c r="A7" s="2" t="s">
        <v>12</v>
      </c>
      <c r="B7" s="3"/>
      <c r="C7" s="3"/>
      <c r="D7" s="3"/>
      <c r="E7" s="3"/>
      <c r="F7" s="3">
        <v>1</v>
      </c>
      <c r="G7" s="3">
        <v>1</v>
      </c>
      <c r="H7" s="3">
        <v>2</v>
      </c>
    </row>
    <row r="8" spans="1:8">
      <c r="A8" s="2" t="s">
        <v>13</v>
      </c>
      <c r="B8" s="3"/>
      <c r="C8" s="3"/>
      <c r="D8" s="3">
        <v>1</v>
      </c>
      <c r="E8" s="3"/>
      <c r="F8" s="3"/>
      <c r="G8" s="3"/>
      <c r="H8" s="3">
        <v>1</v>
      </c>
    </row>
    <row r="9" spans="1:8">
      <c r="A9" s="2" t="s">
        <v>14</v>
      </c>
      <c r="B9" s="3"/>
      <c r="C9" s="3"/>
      <c r="D9" s="3">
        <v>1</v>
      </c>
      <c r="E9" s="3">
        <v>1</v>
      </c>
      <c r="F9" s="3">
        <v>1</v>
      </c>
      <c r="G9" s="3">
        <v>4</v>
      </c>
      <c r="H9" s="3">
        <v>7</v>
      </c>
    </row>
    <row r="10" spans="1:8">
      <c r="A10" s="2" t="s">
        <v>15</v>
      </c>
      <c r="B10" s="3"/>
      <c r="C10" s="3"/>
      <c r="D10" s="3">
        <v>1</v>
      </c>
      <c r="E10" s="3">
        <v>3</v>
      </c>
      <c r="F10" s="3">
        <v>1</v>
      </c>
      <c r="G10" s="3">
        <v>9</v>
      </c>
      <c r="H10" s="3">
        <v>14</v>
      </c>
    </row>
    <row r="11" spans="1:8">
      <c r="A11" s="2" t="s">
        <v>16</v>
      </c>
      <c r="B11" s="3"/>
      <c r="C11" s="3">
        <v>2</v>
      </c>
      <c r="D11" s="3">
        <v>1</v>
      </c>
      <c r="E11" s="3">
        <v>1</v>
      </c>
      <c r="F11" s="3">
        <v>1</v>
      </c>
      <c r="G11" s="3"/>
      <c r="H11" s="3">
        <v>5</v>
      </c>
    </row>
    <row r="12" spans="1:8">
      <c r="A12" s="2" t="s">
        <v>17</v>
      </c>
      <c r="B12" s="3"/>
      <c r="C12" s="3"/>
      <c r="D12" s="3">
        <v>3</v>
      </c>
      <c r="E12" s="3">
        <v>4</v>
      </c>
      <c r="F12" s="3">
        <v>2</v>
      </c>
      <c r="G12" s="3">
        <v>1</v>
      </c>
      <c r="H12" s="3">
        <v>10</v>
      </c>
    </row>
    <row r="13" spans="1:8">
      <c r="A13" s="2" t="s">
        <v>2</v>
      </c>
      <c r="B13" s="3">
        <v>4</v>
      </c>
      <c r="C13" s="3">
        <v>4</v>
      </c>
      <c r="D13" s="3">
        <v>12</v>
      </c>
      <c r="E13" s="3">
        <v>11</v>
      </c>
      <c r="F13" s="3">
        <v>9</v>
      </c>
      <c r="G13" s="3">
        <v>16</v>
      </c>
      <c r="H13" s="3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3628-9F8F-49A1-AA9B-84EA5D6999AF}">
  <dimension ref="A3:E8"/>
  <sheetViews>
    <sheetView workbookViewId="0">
      <selection activeCell="J13" sqref="J13"/>
    </sheetView>
  </sheetViews>
  <sheetFormatPr defaultRowHeight="14.25"/>
  <cols>
    <col min="1" max="1" width="16" bestFit="1" customWidth="1"/>
    <col min="2" max="2" width="16.125" bestFit="1" customWidth="1"/>
    <col min="3" max="3" width="10.25" bestFit="1" customWidth="1"/>
    <col min="4" max="4" width="16" bestFit="1" customWidth="1"/>
    <col min="5" max="5" width="11.375" bestFit="1" customWidth="1"/>
  </cols>
  <sheetData>
    <row r="3" spans="1:5">
      <c r="A3" s="1" t="s">
        <v>40</v>
      </c>
      <c r="B3" s="1" t="s">
        <v>18</v>
      </c>
    </row>
    <row r="4" spans="1:5">
      <c r="A4" s="1" t="s">
        <v>0</v>
      </c>
      <c r="B4" t="s">
        <v>37</v>
      </c>
      <c r="C4" t="s">
        <v>38</v>
      </c>
      <c r="D4" t="s">
        <v>39</v>
      </c>
      <c r="E4" t="s">
        <v>2</v>
      </c>
    </row>
    <row r="5" spans="1:5">
      <c r="A5" s="2" t="s">
        <v>28</v>
      </c>
      <c r="B5" s="3">
        <v>38</v>
      </c>
      <c r="C5" s="3">
        <v>13</v>
      </c>
      <c r="D5" s="3">
        <v>5</v>
      </c>
      <c r="E5" s="3">
        <v>56</v>
      </c>
    </row>
    <row r="6" spans="1:5">
      <c r="A6" s="2" t="s">
        <v>29</v>
      </c>
      <c r="B6" s="3">
        <v>85</v>
      </c>
      <c r="C6" s="3">
        <v>23</v>
      </c>
      <c r="D6" s="3">
        <v>14</v>
      </c>
      <c r="E6" s="3">
        <v>122</v>
      </c>
    </row>
    <row r="7" spans="1:5">
      <c r="A7" s="2" t="s">
        <v>30</v>
      </c>
      <c r="B7" s="3">
        <v>25</v>
      </c>
      <c r="C7" s="3">
        <v>5</v>
      </c>
      <c r="D7" s="3">
        <v>2</v>
      </c>
      <c r="E7" s="3">
        <v>32</v>
      </c>
    </row>
    <row r="8" spans="1:5">
      <c r="A8" s="2" t="s">
        <v>2</v>
      </c>
      <c r="B8" s="3">
        <v>148</v>
      </c>
      <c r="C8" s="3">
        <v>41</v>
      </c>
      <c r="D8" s="3">
        <v>21</v>
      </c>
      <c r="E8" s="3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E20B-FDA2-4EEE-ABF0-141CBA77C695}">
  <dimension ref="A1:B7"/>
  <sheetViews>
    <sheetView workbookViewId="0">
      <selection activeCell="F13" sqref="F13"/>
    </sheetView>
  </sheetViews>
  <sheetFormatPr defaultRowHeight="14.25"/>
  <cols>
    <col min="1" max="1" width="13.125" bestFit="1" customWidth="1"/>
    <col min="2" max="2" width="16" bestFit="1" customWidth="1"/>
    <col min="3" max="3" width="18.5" bestFit="1" customWidth="1"/>
  </cols>
  <sheetData>
    <row r="1" spans="1:2">
      <c r="A1" s="1" t="s">
        <v>41</v>
      </c>
      <c r="B1" t="s" vm="2">
        <v>38</v>
      </c>
    </row>
    <row r="3" spans="1:2">
      <c r="A3" s="1" t="s">
        <v>0</v>
      </c>
      <c r="B3" t="s">
        <v>40</v>
      </c>
    </row>
    <row r="4" spans="1:2">
      <c r="A4" s="2" t="s">
        <v>28</v>
      </c>
      <c r="B4" s="3">
        <v>13</v>
      </c>
    </row>
    <row r="5" spans="1:2">
      <c r="A5" s="2" t="s">
        <v>29</v>
      </c>
      <c r="B5" s="3">
        <v>23</v>
      </c>
    </row>
    <row r="6" spans="1:2">
      <c r="A6" s="2" t="s">
        <v>30</v>
      </c>
      <c r="B6" s="3">
        <v>5</v>
      </c>
    </row>
    <row r="7" spans="1:2">
      <c r="A7" s="2" t="s">
        <v>2</v>
      </c>
      <c r="B7" s="3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572E-1983-46DF-AC17-833440754581}">
  <dimension ref="A3:E22"/>
  <sheetViews>
    <sheetView workbookViewId="0">
      <selection activeCell="K15" sqref="K15"/>
    </sheetView>
  </sheetViews>
  <sheetFormatPr defaultRowHeight="14.25"/>
  <cols>
    <col min="1" max="1" width="16" bestFit="1" customWidth="1"/>
    <col min="2" max="2" width="16.125" bestFit="1" customWidth="1"/>
    <col min="3" max="3" width="10.25" bestFit="1" customWidth="1"/>
    <col min="4" max="4" width="16" bestFit="1" customWidth="1"/>
    <col min="5" max="5" width="11.375" bestFit="1" customWidth="1"/>
  </cols>
  <sheetData>
    <row r="3" spans="1:5">
      <c r="A3" s="1" t="s">
        <v>40</v>
      </c>
      <c r="B3" s="1" t="s">
        <v>18</v>
      </c>
    </row>
    <row r="4" spans="1:5">
      <c r="A4" s="1" t="s">
        <v>0</v>
      </c>
      <c r="B4" t="s">
        <v>37</v>
      </c>
      <c r="C4" t="s">
        <v>38</v>
      </c>
      <c r="D4" t="s">
        <v>39</v>
      </c>
      <c r="E4" t="s">
        <v>2</v>
      </c>
    </row>
    <row r="5" spans="1:5">
      <c r="A5" s="2" t="s">
        <v>42</v>
      </c>
      <c r="B5" s="3">
        <v>11</v>
      </c>
      <c r="C5" s="3">
        <v>6</v>
      </c>
      <c r="D5" s="3">
        <v>2</v>
      </c>
      <c r="E5" s="3">
        <v>19</v>
      </c>
    </row>
    <row r="6" spans="1:5">
      <c r="A6" s="2" t="s">
        <v>43</v>
      </c>
      <c r="B6" s="3">
        <v>9</v>
      </c>
      <c r="C6" s="3">
        <v>2</v>
      </c>
      <c r="D6" s="3">
        <v>1</v>
      </c>
      <c r="E6" s="3">
        <v>12</v>
      </c>
    </row>
    <row r="7" spans="1:5">
      <c r="A7" s="2" t="s">
        <v>44</v>
      </c>
      <c r="B7" s="3">
        <v>5</v>
      </c>
      <c r="C7" s="3">
        <v>2</v>
      </c>
      <c r="D7" s="3"/>
      <c r="E7" s="3">
        <v>7</v>
      </c>
    </row>
    <row r="8" spans="1:5">
      <c r="A8" s="2" t="s">
        <v>45</v>
      </c>
      <c r="B8" s="3">
        <v>13</v>
      </c>
      <c r="C8" s="3">
        <v>4</v>
      </c>
      <c r="D8" s="3">
        <v>3</v>
      </c>
      <c r="E8" s="3">
        <v>20</v>
      </c>
    </row>
    <row r="9" spans="1:5">
      <c r="A9" s="2" t="s">
        <v>46</v>
      </c>
      <c r="B9" s="3">
        <v>11</v>
      </c>
      <c r="C9" s="3">
        <v>2</v>
      </c>
      <c r="D9" s="3">
        <v>3</v>
      </c>
      <c r="E9" s="3">
        <v>16</v>
      </c>
    </row>
    <row r="10" spans="1:5">
      <c r="A10" s="2" t="s">
        <v>47</v>
      </c>
      <c r="B10" s="3">
        <v>6</v>
      </c>
      <c r="C10" s="3">
        <v>5</v>
      </c>
      <c r="D10" s="3"/>
      <c r="E10" s="3">
        <v>11</v>
      </c>
    </row>
    <row r="11" spans="1:5">
      <c r="A11" s="2" t="s">
        <v>48</v>
      </c>
      <c r="B11" s="3">
        <v>8</v>
      </c>
      <c r="C11" s="3">
        <v>2</v>
      </c>
      <c r="D11" s="3"/>
      <c r="E11" s="3">
        <v>10</v>
      </c>
    </row>
    <row r="12" spans="1:5">
      <c r="A12" s="2" t="s">
        <v>49</v>
      </c>
      <c r="B12" s="3">
        <v>9</v>
      </c>
      <c r="C12" s="3">
        <v>4</v>
      </c>
      <c r="D12" s="3">
        <v>2</v>
      </c>
      <c r="E12" s="3">
        <v>15</v>
      </c>
    </row>
    <row r="13" spans="1:5">
      <c r="A13" s="2" t="s">
        <v>50</v>
      </c>
      <c r="B13" s="3">
        <v>10</v>
      </c>
      <c r="C13" s="3">
        <v>2</v>
      </c>
      <c r="D13" s="3">
        <v>1</v>
      </c>
      <c r="E13" s="3">
        <v>13</v>
      </c>
    </row>
    <row r="14" spans="1:5">
      <c r="A14" s="2" t="s">
        <v>51</v>
      </c>
      <c r="B14" s="3">
        <v>15</v>
      </c>
      <c r="C14" s="3">
        <v>1</v>
      </c>
      <c r="D14" s="3"/>
      <c r="E14" s="3">
        <v>16</v>
      </c>
    </row>
    <row r="15" spans="1:5">
      <c r="A15" s="2" t="s">
        <v>52</v>
      </c>
      <c r="B15" s="3">
        <v>4</v>
      </c>
      <c r="C15" s="3"/>
      <c r="D15" s="3"/>
      <c r="E15" s="3">
        <v>4</v>
      </c>
    </row>
    <row r="16" spans="1:5">
      <c r="A16" s="2" t="s">
        <v>53</v>
      </c>
      <c r="B16" s="3">
        <v>1</v>
      </c>
      <c r="C16" s="3"/>
      <c r="D16" s="3"/>
      <c r="E16" s="3">
        <v>1</v>
      </c>
    </row>
    <row r="17" spans="1:5">
      <c r="A17" s="2" t="s">
        <v>54</v>
      </c>
      <c r="B17" s="3">
        <v>11</v>
      </c>
      <c r="C17" s="3">
        <v>1</v>
      </c>
      <c r="D17" s="3">
        <v>3</v>
      </c>
      <c r="E17" s="3">
        <v>15</v>
      </c>
    </row>
    <row r="18" spans="1:5">
      <c r="A18" s="2" t="s">
        <v>55</v>
      </c>
      <c r="B18" s="3">
        <v>12</v>
      </c>
      <c r="C18" s="3">
        <v>1</v>
      </c>
      <c r="D18" s="3">
        <v>3</v>
      </c>
      <c r="E18" s="3">
        <v>16</v>
      </c>
    </row>
    <row r="19" spans="1:5">
      <c r="A19" s="2" t="s">
        <v>56</v>
      </c>
      <c r="B19" s="3">
        <v>4</v>
      </c>
      <c r="C19" s="3">
        <v>4</v>
      </c>
      <c r="D19" s="3"/>
      <c r="E19" s="3">
        <v>8</v>
      </c>
    </row>
    <row r="20" spans="1:5">
      <c r="A20" s="2" t="s">
        <v>57</v>
      </c>
      <c r="B20" s="3">
        <v>7</v>
      </c>
      <c r="C20" s="3">
        <v>2</v>
      </c>
      <c r="D20" s="3">
        <v>1</v>
      </c>
      <c r="E20" s="3">
        <v>10</v>
      </c>
    </row>
    <row r="21" spans="1:5">
      <c r="A21" s="2" t="s">
        <v>58</v>
      </c>
      <c r="B21" s="3">
        <v>12</v>
      </c>
      <c r="C21" s="3">
        <v>3</v>
      </c>
      <c r="D21" s="3">
        <v>2</v>
      </c>
      <c r="E21" s="3">
        <v>17</v>
      </c>
    </row>
    <row r="22" spans="1:5">
      <c r="A22" s="2" t="s">
        <v>2</v>
      </c>
      <c r="B22" s="3">
        <v>148</v>
      </c>
      <c r="C22" s="3">
        <v>41</v>
      </c>
      <c r="D22" s="3">
        <v>21</v>
      </c>
      <c r="E22" s="3">
        <v>210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19A0-9D5E-4FC5-AEF1-959129277100}">
  <dimension ref="A3:E13"/>
  <sheetViews>
    <sheetView workbookViewId="0">
      <selection activeCell="K18" sqref="K18"/>
    </sheetView>
  </sheetViews>
  <sheetFormatPr defaultRowHeight="14.25"/>
  <cols>
    <col min="1" max="1" width="16" bestFit="1" customWidth="1"/>
    <col min="2" max="2" width="16.125" bestFit="1" customWidth="1"/>
    <col min="3" max="3" width="10.25" bestFit="1" customWidth="1"/>
    <col min="4" max="4" width="16" bestFit="1" customWidth="1"/>
    <col min="5" max="5" width="11.375" bestFit="1" customWidth="1"/>
  </cols>
  <sheetData>
    <row r="3" spans="1:5">
      <c r="A3" s="1" t="s">
        <v>40</v>
      </c>
      <c r="B3" s="1" t="s">
        <v>18</v>
      </c>
    </row>
    <row r="4" spans="1:5">
      <c r="A4" s="1" t="s">
        <v>0</v>
      </c>
      <c r="B4" t="s">
        <v>37</v>
      </c>
      <c r="C4" t="s">
        <v>38</v>
      </c>
      <c r="D4" t="s">
        <v>39</v>
      </c>
      <c r="E4" t="s">
        <v>2</v>
      </c>
    </row>
    <row r="5" spans="1:5">
      <c r="A5" s="2" t="s">
        <v>10</v>
      </c>
      <c r="B5" s="3">
        <v>15</v>
      </c>
      <c r="C5" s="3">
        <v>1</v>
      </c>
      <c r="D5" s="3"/>
      <c r="E5" s="3">
        <v>16</v>
      </c>
    </row>
    <row r="6" spans="1:5">
      <c r="A6" s="2" t="s">
        <v>11</v>
      </c>
      <c r="B6" s="3">
        <v>27</v>
      </c>
      <c r="C6" s="3">
        <v>5</v>
      </c>
      <c r="D6" s="3">
        <v>4</v>
      </c>
      <c r="E6" s="3">
        <v>36</v>
      </c>
    </row>
    <row r="7" spans="1:5">
      <c r="A7" s="2" t="s">
        <v>12</v>
      </c>
      <c r="B7" s="3">
        <v>5</v>
      </c>
      <c r="C7" s="3"/>
      <c r="D7" s="3"/>
      <c r="E7" s="3">
        <v>5</v>
      </c>
    </row>
    <row r="8" spans="1:5">
      <c r="A8" s="2" t="s">
        <v>13</v>
      </c>
      <c r="B8" s="3">
        <v>18</v>
      </c>
      <c r="C8" s="3">
        <v>8</v>
      </c>
      <c r="D8" s="3">
        <v>3</v>
      </c>
      <c r="E8" s="3">
        <v>29</v>
      </c>
    </row>
    <row r="9" spans="1:5">
      <c r="A9" s="2" t="s">
        <v>14</v>
      </c>
      <c r="B9" s="3">
        <v>11</v>
      </c>
      <c r="C9" s="3">
        <v>1</v>
      </c>
      <c r="D9" s="3">
        <v>3</v>
      </c>
      <c r="E9" s="3">
        <v>15</v>
      </c>
    </row>
    <row r="10" spans="1:5">
      <c r="A10" s="2" t="s">
        <v>15</v>
      </c>
      <c r="B10" s="3">
        <v>32</v>
      </c>
      <c r="C10" s="3">
        <v>7</v>
      </c>
      <c r="D10" s="3">
        <v>6</v>
      </c>
      <c r="E10" s="3">
        <v>45</v>
      </c>
    </row>
    <row r="11" spans="1:5">
      <c r="A11" s="2" t="s">
        <v>16</v>
      </c>
      <c r="B11" s="3">
        <v>17</v>
      </c>
      <c r="C11" s="3">
        <v>6</v>
      </c>
      <c r="D11" s="3">
        <v>2</v>
      </c>
      <c r="E11" s="3">
        <v>25</v>
      </c>
    </row>
    <row r="12" spans="1:5">
      <c r="A12" s="2" t="s">
        <v>17</v>
      </c>
      <c r="B12" s="3">
        <v>23</v>
      </c>
      <c r="C12" s="3">
        <v>13</v>
      </c>
      <c r="D12" s="3">
        <v>3</v>
      </c>
      <c r="E12" s="3">
        <v>39</v>
      </c>
    </row>
    <row r="13" spans="1:5">
      <c r="A13" s="2" t="s">
        <v>2</v>
      </c>
      <c r="B13" s="3">
        <v>148</v>
      </c>
      <c r="C13" s="3">
        <v>41</v>
      </c>
      <c r="D13" s="3">
        <v>21</v>
      </c>
      <c r="E13" s="3">
        <v>210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EE3E-EC93-458C-9E04-723F9D9F6CBC}">
  <dimension ref="A1:C10"/>
  <sheetViews>
    <sheetView workbookViewId="0">
      <selection activeCell="E14" sqref="E14"/>
    </sheetView>
  </sheetViews>
  <sheetFormatPr defaultRowHeight="14.25"/>
  <cols>
    <col min="1" max="1" width="13.125" bestFit="1" customWidth="1"/>
    <col min="2" max="2" width="17.125" bestFit="1" customWidth="1"/>
    <col min="3" max="3" width="22.625" bestFit="1" customWidth="1"/>
  </cols>
  <sheetData>
    <row r="1" spans="1:3">
      <c r="A1" s="1" t="s">
        <v>41</v>
      </c>
      <c r="B1" t="s" vm="3">
        <v>39</v>
      </c>
    </row>
    <row r="3" spans="1:3">
      <c r="A3" s="1" t="s">
        <v>0</v>
      </c>
      <c r="B3" t="s">
        <v>40</v>
      </c>
      <c r="C3" t="s">
        <v>3</v>
      </c>
    </row>
    <row r="4" spans="1:3">
      <c r="A4" s="2" t="s">
        <v>11</v>
      </c>
      <c r="B4" s="3">
        <v>4</v>
      </c>
      <c r="C4" s="3">
        <v>4</v>
      </c>
    </row>
    <row r="5" spans="1:3">
      <c r="A5" s="2" t="s">
        <v>13</v>
      </c>
      <c r="B5" s="3">
        <v>3</v>
      </c>
      <c r="C5" s="3">
        <v>3</v>
      </c>
    </row>
    <row r="6" spans="1:3">
      <c r="A6" s="2" t="s">
        <v>14</v>
      </c>
      <c r="B6" s="3">
        <v>3</v>
      </c>
      <c r="C6" s="3">
        <v>3</v>
      </c>
    </row>
    <row r="7" spans="1:3">
      <c r="A7" s="2" t="s">
        <v>15</v>
      </c>
      <c r="B7" s="3">
        <v>6</v>
      </c>
      <c r="C7" s="3">
        <v>6</v>
      </c>
    </row>
    <row r="8" spans="1:3">
      <c r="A8" s="2" t="s">
        <v>16</v>
      </c>
      <c r="B8" s="3">
        <v>2</v>
      </c>
      <c r="C8" s="3">
        <v>2</v>
      </c>
    </row>
    <row r="9" spans="1:3">
      <c r="A9" s="2" t="s">
        <v>17</v>
      </c>
      <c r="B9" s="3">
        <v>3</v>
      </c>
      <c r="C9" s="3">
        <v>3</v>
      </c>
    </row>
    <row r="10" spans="1:3">
      <c r="A10" s="2" t="s">
        <v>2</v>
      </c>
      <c r="B10" s="3">
        <v>21</v>
      </c>
      <c r="C10" s="3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3D44-F8AE-46A8-85DA-9508E90EFF2C}">
  <dimension ref="A3:E8"/>
  <sheetViews>
    <sheetView tabSelected="1" workbookViewId="0">
      <selection activeCell="J16" sqref="J16"/>
    </sheetView>
  </sheetViews>
  <sheetFormatPr defaultRowHeight="14.25"/>
  <cols>
    <col min="1" max="1" width="16" bestFit="1" customWidth="1"/>
    <col min="2" max="2" width="16.125" bestFit="1" customWidth="1"/>
    <col min="3" max="3" width="10.25" bestFit="1" customWidth="1"/>
    <col min="4" max="4" width="16" bestFit="1" customWidth="1"/>
    <col min="5" max="5" width="11.375" bestFit="1" customWidth="1"/>
  </cols>
  <sheetData>
    <row r="3" spans="1:5">
      <c r="A3" s="1" t="s">
        <v>40</v>
      </c>
      <c r="B3" s="1" t="s">
        <v>18</v>
      </c>
    </row>
    <row r="4" spans="1:5">
      <c r="A4" s="1" t="s">
        <v>0</v>
      </c>
      <c r="B4" t="s">
        <v>37</v>
      </c>
      <c r="C4" t="s">
        <v>38</v>
      </c>
      <c r="D4" t="s">
        <v>39</v>
      </c>
      <c r="E4" t="s">
        <v>2</v>
      </c>
    </row>
    <row r="5" spans="1:5">
      <c r="A5" s="2" t="s">
        <v>28</v>
      </c>
      <c r="B5" s="3">
        <v>38</v>
      </c>
      <c r="C5" s="3">
        <v>13</v>
      </c>
      <c r="D5" s="3">
        <v>5</v>
      </c>
      <c r="E5" s="3">
        <v>56</v>
      </c>
    </row>
    <row r="6" spans="1:5">
      <c r="A6" s="2" t="s">
        <v>29</v>
      </c>
      <c r="B6" s="3">
        <v>85</v>
      </c>
      <c r="C6" s="3">
        <v>23</v>
      </c>
      <c r="D6" s="3">
        <v>14</v>
      </c>
      <c r="E6" s="3">
        <v>122</v>
      </c>
    </row>
    <row r="7" spans="1:5">
      <c r="A7" s="2" t="s">
        <v>30</v>
      </c>
      <c r="B7" s="3">
        <v>25</v>
      </c>
      <c r="C7" s="3">
        <v>5</v>
      </c>
      <c r="D7" s="3">
        <v>2</v>
      </c>
      <c r="E7" s="3">
        <v>32</v>
      </c>
    </row>
    <row r="8" spans="1:5">
      <c r="A8" s="2" t="s">
        <v>2</v>
      </c>
      <c r="B8" s="3">
        <v>148</v>
      </c>
      <c r="C8" s="3">
        <v>41</v>
      </c>
      <c r="D8" s="3">
        <v>21</v>
      </c>
      <c r="E8" s="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1.1</vt:lpstr>
      <vt:lpstr>1.2</vt:lpstr>
      <vt:lpstr>1.3</vt:lpstr>
      <vt:lpstr>1.4</vt:lpstr>
      <vt:lpstr>1.5</vt:lpstr>
      <vt:lpstr>1.6</vt:lpstr>
      <vt:lpstr>1.7</vt:lpstr>
      <vt:lpstr>2.1</vt:lpstr>
      <vt:lpstr>2.2</vt:lpstr>
      <vt:lpstr>2.3</vt:lpstr>
      <vt:lpstr>2.4</vt:lpstr>
      <vt:lpstr>2.5</vt:lpstr>
      <vt:lpstr>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Sadkowski, s197776</dc:creator>
  <cp:lastModifiedBy>Michał Sadkowski, s197776</cp:lastModifiedBy>
  <dcterms:created xsi:type="dcterms:W3CDTF">2025-11-24T23:05:09Z</dcterms:created>
  <dcterms:modified xsi:type="dcterms:W3CDTF">2025-11-24T23:15:10Z</dcterms:modified>
</cp:coreProperties>
</file>